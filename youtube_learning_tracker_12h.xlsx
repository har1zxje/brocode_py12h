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52" windowHeight="9120" activeTab="2"/>
  </bookViews>
  <sheets>
    <sheet name="Daily Log" sheetId="1" r:id="rId1"/>
    <sheet name="Dashboard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<sst xmlns="http://schemas.openxmlformats.org/spreadsheetml/2006/main" count="50" uniqueCount="46">
  <si>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STT</t>
  </si>
  <si>
    <t>Ngày</t>
  </si>
  <si>
    <t>T.gian bắt đầu</t>
  </si>
  <si>
    <t>T.gian kết thúc</t>
  </si>
  <si>
    <t>Tổng thời gian</t>
  </si>
  <si>
    <t>Độ hiểu</t>
  </si>
  <si>
    <t>% buổi học</t>
  </si>
  <si>
    <t>Tiến độ</t>
  </si>
  <si>
    <t>Ghi chú</t>
  </si>
  <si>
    <t>Test python, in là print</t>
  </si>
  <si>
    <t xml:space="preserve">ten = "hai"
print(f"toi ten {ten}")
--&gt;tương tự với int, float, boolean
đổi kiểu dữ liệu: age = float(age)
--&gt; th đặc biệt: name = bool(name) luôn ra kq True --&gt; chỉ False khi name rỗng giá trị, có thể dùng để ktra ô rỗng
name = input("your name? : ")
age = int(input("your age? : "))
age += 1
print(f"hello, {name}!")
print(f"next year you are {age} years old")
--&gt;dùng hàm input để nhập gtri, gtri nhập luôn trả về dữ liệu string </t>
  </si>
  <si>
    <t>toán tử và if cơ bản, 3 prj cơ bản áp dụng</t>
  </si>
  <si>
    <t>* or, and, not, shortcut cho if:
user_role = "admin"
access_level = "Full Access" if user == "admin" else "Limited Access"
*vài hàm str
len(name): in ra độ dài str
name.find("o"): tìm chữ o đầu trong chuỗi, in ra vị trí đếm từ 0, ko có trả gtri -1
name.rfind("o"): tìm chữ o từ cuối lên
name.capitalize(): viết hoa chữ đầu
name.upper(): viết hoa hết
name.lower(): viết thường hết
name.isdigit(): nếu str full số thì True, ngược lại False
name.isalpha(): tương tự là chữ cái
phone.count("-"): đếm số lần - xuất hiện trên str
phone.replace("-", " "): thay cái 1 thành 2
*str index:
str[start:end:step]
credit[4]: lấy chữ cái stt 4, đếm từ 0, nếu để gtri âm thì lấy từ cuối lên bắt đầu từ -1
credit[5:9]: lấy từ 5 đến 9
credit[::3]: lấy theo khoảng cách 3, nếu để gtri âm thì lấy từ cuối lên
*format specifiers: ={value:flags} sửa format như &lt; căn trái, &gt; căn phải, ^ căn giữa, +, ., ...
*while</t>
  </si>
  <si>
    <t>*for x in range(), str, sequence, ...
continue sẽ skip nếu điều kiện đúng, vòng for vẫn chạy tiếp
break thì dừng hẳn vòng for nếu đkiện đúng
*collection:
list = [] theo thứ tự, thay đổi dc, lặp dc
set = {} ko theo thứ tự, thay đổi dc, ko lặp
tuple = () theo thứ tự, ko thay đổi dc, lặp dc, nhanh hơn list
*ma trận 2d ()(), etc
*dictionary {key:value} theo thứ tự và changeable, ko lặp (hiểu cơ bản là ma trận n X 2)
*làm prj vs for, while, collection, 2d, dict</t>
  </si>
  <si>
    <t>random và 3 prj</t>
  </si>
  <si>
    <t>hàm
def name(arg1, arg2):
positional
default: có thể gán gtri biến đầu vào ngay count(end, start = 0): , gọi hàm thì có thể chỉ cần nhập các gtri chưa có, các gtri default thì để đằng sau
keyword: gán giá trị vào tên biến hello("Hello", title="Mr.", last="Squarepants", first="Spongebob")
arbitrary: *args ko giới hạn số gtri biến đầu vào, hiểu cơ bản biến thành 1 tuple
                 **kwargs tương tự * nhưng có keyword, hiểu cơ bản biến thành 1 dictionary</t>
  </si>
  <si>
    <t>iterables: lặp vs list, tuple, set, str, dict
membership operators: in, not in vs 5 trên
list comprehension: tạo list [expression for value in interable if condition]
match-case: là switch case
modules: import các thư viện có sẵn hoặc cx có thể import 1 file tự tạo
scope resolution: theo quy tắc LEGB local&gt;enclosed&gt;global&gt;built-in
                                local là biến khai báo thẳng trong hàm, có gtri lấy cao nhất
                                enclosed là khai báo biến ở hàm ngoài khi ở tronng 2 vòng lặp hàm trở lên
                                global khai báo trong file chính
                                built-in các biến có sẵn gtri trong module như math.e
if __name__ ==  '__main__': đ hiểu
2 prj</t>
  </si>
  <si>
    <t>2 prj</t>
  </si>
  <si>
    <t>OOP trong python: khai báo, biến, cha con</t>
  </si>
  <si>
    <t>*multiple cha con
super: super().__init__(a, b, c) dùng các biến chung từ th cha
*polymorph: có 2 loại
1 là kế thừa
2 là duck typing
*methods:
static: hàm cục bộ dùng khi ko cần đến biến nhập vào class @staticmethod \n def name(abc):
class: hàm dùng thoonn tin dc nhập vào class @classmethod \n def name(cls):
magic: các hàm có sẵn
*property
*decorators
*exception handling
*file detection, writing, reading
* date n time
1 prj</t>
  </si>
  <si>
    <t>multithreading và request api</t>
  </si>
  <si>
    <t>PyQt5 GUI, labels, images, layout</t>
  </si>
  <si>
    <t>PyQt5 buttons, checkboxes, radio buttons, line edits, CSS styles
1 prj</t>
  </si>
  <si>
    <t>2 prj cuối</t>
  </si>
  <si>
    <t>DASHBOARD THEO DÕI HỌC YOUTUBE - MỤC TIÊU 12 GIỜ</t>
  </si>
  <si>
    <t>Mục</t>
  </si>
  <si>
    <t>Giờ</t>
  </si>
  <si>
    <t>🎯 Mục tiêu</t>
  </si>
  <si>
    <t>Đã học</t>
  </si>
  <si>
    <t>⏱ Đã học</t>
  </si>
  <si>
    <t>Còn lại</t>
  </si>
  <si>
    <t>⌛ Còn lại</t>
  </si>
  <si>
    <t>📈 Tiến độ</t>
  </si>
  <si>
    <t>⭐ Độ hiểu TB</t>
  </si>
  <si>
    <t>🔥 Số buổi học</t>
  </si>
  <si>
    <t>Thanh tiến độ</t>
  </si>
  <si>
    <t>Hướng dẫn: nhập Ngày + T.gian bắt đầu + T.gian kết thúc ở sheet Daily Log. Dashboard tự cập nhật tổng giờ, %, biểu đồ và thanh tiến độ.</t>
  </si>
  <si>
    <t>Tên</t>
  </si>
  <si>
    <t>Giá trị</t>
  </si>
  <si>
    <t>Mục tiêu giờ</t>
  </si>
  <si>
    <t>Trạng thái mẫu</t>
  </si>
  <si>
    <t/>
  </si>
  <si>
    <t>Độ hiểu thấp nhất</t>
  </si>
  <si>
    <t>Độ hiểu cao nhất</t>
  </si>
  <si>
    <t>Màu biểu đồ</t>
  </si>
  <si>
    <t>Chỉ nhập dữ liệu ở Daily Log: Ngày, T.gian bắt đầu, T.gian kết thúc, Độ hiểu, Ghi chú.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</si>
</sst>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"/>
    <numFmt numFmtId="179" formatCode="hh:mm:ss"/>
    <numFmt numFmtId="180" formatCode=";;;"/>
  </numFmts>
  <fonts count="27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sz val="11"/>
      <color rgb="FFFFFFFF"/>
      <name val="Carlito"/>
      <charset val="134"/>
    </font>
    <font>
      <b/>
      <sz val="11"/>
      <name val="Carlito"/>
      <charset val="134"/>
    </font>
    <font>
      <b/>
      <sz val="14"/>
      <color rgb="FF00B050"/>
      <name val="Consolas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NumberFormat="1" applyFont="1" applyFill="1" applyBorder="1"/>
    <xf numFmtId="1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/>
    <xf numFmtId="0" fontId="4" fillId="4" borderId="0" xfId="0" applyNumberFormat="1" applyFont="1" applyFill="1" applyBorder="1"/>
    <xf numFmtId="46" fontId="4" fillId="4" borderId="0" xfId="0" applyNumberFormat="1" applyFont="1" applyFill="1" applyBorder="1"/>
    <xf numFmtId="2" fontId="3" fillId="3" borderId="0" xfId="0" applyNumberFormat="1" applyFont="1" applyFill="1" applyBorder="1"/>
    <xf numFmtId="10" fontId="4" fillId="4" borderId="0" xfId="0" applyNumberFormat="1" applyFont="1" applyFill="1" applyBorder="1"/>
    <xf numFmtId="2" fontId="4" fillId="4" borderId="0" xfId="0" applyNumberFormat="1" applyFont="1" applyFill="1" applyBorder="1"/>
    <xf numFmtId="10" fontId="0" fillId="0" borderId="0" xfId="0" applyNumberFormat="1" applyFont="1" applyFill="1" applyBorder="1"/>
    <xf numFmtId="1" fontId="4" fillId="4" borderId="0" xfId="0" applyNumberFormat="1" applyFont="1" applyFill="1" applyBorder="1"/>
    <xf numFmtId="178" fontId="0" fillId="0" borderId="0" xfId="0" applyNumberFormat="1" applyFont="1" applyFill="1" applyBorder="1"/>
    <xf numFmtId="0" fontId="5" fillId="0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1" fillId="6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vertical="center"/>
    </xf>
    <xf numFmtId="179" fontId="6" fillId="0" borderId="0" xfId="0" applyNumberFormat="1" applyFont="1" applyFill="1" applyBorder="1" applyAlignment="1">
      <alignment vertical="center"/>
    </xf>
    <xf numFmtId="46" fontId="6" fillId="0" borderId="0" xfId="0" applyNumberFormat="1" applyFont="1" applyFill="1" applyBorder="1" applyAlignment="1">
      <alignment vertical="center"/>
    </xf>
    <xf numFmtId="180" fontId="6" fillId="0" borderId="0" xfId="0" applyNumberFormat="1" applyFont="1" applyFill="1" applyBorder="1" applyAlignment="1">
      <alignment vertical="center"/>
    </xf>
    <xf numFmtId="10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35" fontId="6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Times New Roman"/>
        <scheme val="none"/>
      </font>
      <alignment horizontal="center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  <numFmt numFmtId="180" formatCode=";;;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Tiến độ 12 giờ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"Giờ"</c:f>
              <c:strCache>
                <c:ptCount val="1"/>
                <c:pt idx="0">
                  <c:v>Giờ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Lbls>
            <c:delete val="1"/>
          </c:dLbls>
          <c:cat>
            <c:strRef>
              <c:f>Dashboard!$J$3:$J$4</c:f>
              <c:strCache>
                <c:ptCount val="2"/>
                <c:pt idx="0">
                  <c:v>Đã học</c:v>
                </c:pt>
                <c:pt idx="1">
                  <c:v>Còn lại</c:v>
                </c:pt>
              </c:strCache>
            </c:strRef>
          </c:cat>
          <c:val>
            <c:numRef>
              <c:f>Dashboard!$K$3:$K$4</c:f>
              <c:numCache>
                <c:formatCode>0.00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2414e8-138e-4919-a7e6-a22a39aed1b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Tiến độ tích lũy theo ngày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"Tiến độ"</c:f>
              <c:strCache>
                <c:ptCount val="1"/>
                <c:pt idx="0">
                  <c:v>Tiến độ</c:v>
                </c:pt>
              </c:strCache>
            </c:strRef>
          </c:tx>
          <c:dLbls>
            <c:delete val="1"/>
          </c:dLbls>
          <c:cat>
            <c:numRef>
              <c:f>Dashboard!$J$8:$J$17</c:f>
              <c:numCache>
                <c:formatCode>dd/mm</c:formatCode>
                <c:ptCount val="10"/>
                <c:pt idx="0" c:formatCode="dd/mm">
                  <c:v>46197</c:v>
                </c:pt>
                <c:pt idx="1" c:formatCode="dd/mm">
                  <c:v>46198</c:v>
                </c:pt>
                <c:pt idx="2" c:formatCode="dd/mm">
                  <c:v>46199</c:v>
                </c:pt>
                <c:pt idx="3" c:formatCode="dd/mm">
                  <c:v>46200</c:v>
                </c:pt>
                <c:pt idx="4" c:formatCode="dd/mm">
                  <c:v>46202</c:v>
                </c:pt>
                <c:pt idx="5" c:formatCode="dd/mm">
                  <c:v>46203</c:v>
                </c:pt>
                <c:pt idx="6" c:formatCode="dd/mm">
                  <c:v>46204</c:v>
                </c:pt>
                <c:pt idx="7" c:formatCode="dd/mm">
                  <c:v>46209</c:v>
                </c:pt>
                <c:pt idx="8" c:formatCode="dd/mm">
                  <c:v>46210</c:v>
                </c:pt>
                <c:pt idx="9" c:formatCode="dd/mm">
                  <c:v>46211</c:v>
                </c:pt>
              </c:numCache>
            </c:numRef>
          </c:cat>
          <c:val>
            <c:numRef>
              <c:f>Dashboard!$K$8:$K$17</c:f>
              <c:numCache>
                <c:formatCode>0.00%</c:formatCode>
                <c:ptCount val="10"/>
                <c:pt idx="0">
                  <c:v>0.0080787037037037</c:v>
                </c:pt>
                <c:pt idx="1">
                  <c:v>0.0454166666666666</c:v>
                </c:pt>
                <c:pt idx="2">
                  <c:v>0.097199074074074</c:v>
                </c:pt>
                <c:pt idx="3">
                  <c:v>0.165115740740741</c:v>
                </c:pt>
                <c:pt idx="4">
                  <c:v>0.266041666666666</c:v>
                </c:pt>
                <c:pt idx="5">
                  <c:v>0.3225</c:v>
                </c:pt>
                <c:pt idx="6">
                  <c:v>0.375763888888888</c:v>
                </c:pt>
                <c:pt idx="7">
                  <c:v>0.498263888888888</c:v>
                </c:pt>
                <c:pt idx="8">
                  <c:v>0.545185185185186</c:v>
                </c:pt>
                <c:pt idx="9">
                  <c:v>0.58337962962963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d516a0-c6fa-4d79-8e4e-0e5a23695e7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167640</xdr:colOff>
      <xdr:row>16</xdr:row>
      <xdr:rowOff>45720</xdr:rowOff>
    </xdr:from>
    <xdr:ext cx="3429000" cy="2522220"/>
    <xdr:graphicFrame>
      <xdr:nvGraphicFramePr>
        <xdr:cNvPr id="2" name="Chart"/>
        <xdr:cNvGraphicFramePr/>
      </xdr:nvGraphicFramePr>
      <xdr:xfrm>
        <a:off x="6949440" y="3108960"/>
        <a:ext cx="3429000" cy="2522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114935</xdr:colOff>
      <xdr:row>17</xdr:row>
      <xdr:rowOff>106680</xdr:rowOff>
    </xdr:from>
    <xdr:ext cx="6667500" cy="2468880"/>
    <xdr:graphicFrame>
      <xdr:nvGraphicFramePr>
        <xdr:cNvPr id="3" name="Chart"/>
        <xdr:cNvGraphicFramePr/>
      </xdr:nvGraphicFramePr>
      <xdr:xfrm>
        <a:off x="114935" y="3345180"/>
        <a:ext cx="6667500" cy="246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DailyLogTable" displayName="DailyLogTable" ref="A1:I101">
  <tableColumns count="9">
    <tableColumn id="1" name="STT" dataDxfId="0"/>
    <tableColumn id="2" name="Ngày" dataDxfId="1"/>
    <tableColumn id="3" name="T.gian bắt đầu" dataDxfId="2"/>
    <tableColumn id="4" name="T.gian kết thúc" dataDxfId="3"/>
    <tableColumn id="5" name="Tổng thời gian" dataDxfId="4"/>
    <tableColumn id="6" name="Độ hiểu" dataDxfId="5"/>
    <tableColumn id="7" name="% buổi học" dataDxfId="6"/>
    <tableColumn id="8" name="Tiến độ" dataDxfId="7"/>
    <tableColumn id="9" name="Ghi chú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opLeftCell="A12" workbookViewId="0">
      <selection activeCell="H21" sqref="H21"/>
    </sheetView>
  </sheetViews>
  <sheetFormatPr defaultColWidth="9" defaultRowHeight="13.8"/>
  <cols>
    <col min="1" max="1" width="4.2" customWidth="1"/>
    <col min="2" max="2" width="5.1" customWidth="1"/>
    <col min="3" max="3" width="14.7" customWidth="1"/>
    <col min="4" max="4" width="15" customWidth="1"/>
    <col min="5" max="5" width="16" customWidth="1"/>
    <col min="6" max="6" width="17.6" customWidth="1"/>
    <col min="7" max="7" width="10.9" customWidth="1"/>
    <col min="8" max="8" width="17.1" customWidth="1"/>
    <col min="9" max="9" width="68" customWidth="1"/>
  </cols>
  <sheetData>
    <row r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>
      <c r="A2" s="16">
        <v>1</v>
      </c>
      <c r="B2" s="17">
        <v>46197</v>
      </c>
      <c r="C2" s="18">
        <v>0</v>
      </c>
      <c r="D2" s="18">
        <v>0.00403935185185185</v>
      </c>
      <c r="E2" s="19">
        <f t="shared" ref="E2:E65" si="0">IF(COUNTA(C2:D2)&lt;2,"",MOD(D2-C2,1))</f>
        <v>0.00403935185185185</v>
      </c>
      <c r="F2" s="20">
        <v>5</v>
      </c>
      <c r="G2" s="21">
        <f>IF(E2="","",E2/TIME(Settings!$B$2,0,0))</f>
        <v>0.0080787037037037</v>
      </c>
      <c r="H2" s="21">
        <f>IF(B2="","",SUM($E$2:E2)/TIME(Settings!$B$2,0,0))</f>
        <v>0.0080787037037037</v>
      </c>
      <c r="I2" s="22" t="s">
        <v>9</v>
      </c>
    </row>
    <row r="3" ht="171" customHeight="1" spans="1:9">
      <c r="A3" s="16">
        <v>2</v>
      </c>
      <c r="B3" s="17">
        <v>46198</v>
      </c>
      <c r="C3" s="18">
        <v>0.00403935185185185</v>
      </c>
      <c r="D3" s="18">
        <v>0.0227083333333333</v>
      </c>
      <c r="E3" s="19">
        <f t="shared" si="0"/>
        <v>0.0186689814814814</v>
      </c>
      <c r="F3" s="20">
        <v>5</v>
      </c>
      <c r="G3" s="21">
        <f>IF(E3="","",E3/TIME(Settings!$B$2,0,0))</f>
        <v>0.0373379629629629</v>
      </c>
      <c r="H3" s="21">
        <f>IF(B3="","",SUM($E$2:E3)/TIME(Settings!$B$2,0,0))</f>
        <v>0.0454166666666666</v>
      </c>
      <c r="I3" s="23" t="s">
        <v>10</v>
      </c>
    </row>
    <row r="4" spans="1:9">
      <c r="A4" s="16">
        <v>3</v>
      </c>
      <c r="B4" s="17">
        <v>46199</v>
      </c>
      <c r="C4" s="18">
        <f t="shared" ref="C4:C15" si="1">D3</f>
        <v>0.0227083333333333</v>
      </c>
      <c r="D4" s="18">
        <v>0.048599537037037</v>
      </c>
      <c r="E4" s="19">
        <f t="shared" si="0"/>
        <v>0.0258912037037037</v>
      </c>
      <c r="F4" s="20">
        <v>5</v>
      </c>
      <c r="G4" s="21">
        <f>IF(E4="","",E4/TIME(Settings!$B$2,0,0))</f>
        <v>0.0517824074074074</v>
      </c>
      <c r="H4" s="21">
        <f>IF(B4="","",SUM($E$2:E4)/TIME(Settings!$B$2,0,0))</f>
        <v>0.097199074074074</v>
      </c>
      <c r="I4" s="22" t="s">
        <v>11</v>
      </c>
    </row>
    <row r="5" ht="294" customHeight="1" spans="1:9">
      <c r="A5" s="16">
        <v>4</v>
      </c>
      <c r="B5" s="17">
        <v>46200</v>
      </c>
      <c r="C5" s="18">
        <f t="shared" si="1"/>
        <v>0.048599537037037</v>
      </c>
      <c r="D5" s="24">
        <v>0.0825578703703704</v>
      </c>
      <c r="E5" s="19">
        <f t="shared" si="0"/>
        <v>0.0339583333333334</v>
      </c>
      <c r="F5" s="20">
        <v>4</v>
      </c>
      <c r="G5" s="21">
        <f>IF(E5="","",E5/TIME(Settings!$B$2,0,0))</f>
        <v>0.0679166666666668</v>
      </c>
      <c r="H5" s="21">
        <f>IF(B5="","",SUM($E$2:E5)/TIME(Settings!$B$2,0,0))</f>
        <v>0.165115740740741</v>
      </c>
      <c r="I5" s="23" t="s">
        <v>12</v>
      </c>
    </row>
    <row r="6" ht="138" spans="1:9">
      <c r="A6" s="16">
        <v>5</v>
      </c>
      <c r="B6" s="17">
        <v>46202</v>
      </c>
      <c r="C6" s="18">
        <f t="shared" si="1"/>
        <v>0.0825578703703704</v>
      </c>
      <c r="D6" s="18">
        <v>0.133020833333333</v>
      </c>
      <c r="E6" s="19">
        <f t="shared" si="0"/>
        <v>0.0504629629629626</v>
      </c>
      <c r="F6" s="20">
        <v>4</v>
      </c>
      <c r="G6" s="21">
        <f>IF(E6="","",E6/TIME(Settings!$B$2,0,0))</f>
        <v>0.100925925925925</v>
      </c>
      <c r="H6" s="21">
        <f>IF(B6="","",SUM($E$2:E6)/TIME(Settings!$B$2,0,0))</f>
        <v>0.266041666666666</v>
      </c>
      <c r="I6" s="23" t="s">
        <v>13</v>
      </c>
    </row>
    <row r="7" spans="1:9">
      <c r="A7" s="16">
        <v>6</v>
      </c>
      <c r="B7" s="17">
        <v>46203</v>
      </c>
      <c r="C7" s="18">
        <f t="shared" si="1"/>
        <v>0.133020833333333</v>
      </c>
      <c r="D7" s="18">
        <v>0.16125</v>
      </c>
      <c r="E7" s="19">
        <f t="shared" si="0"/>
        <v>0.028229166666667</v>
      </c>
      <c r="F7" s="20">
        <v>4</v>
      </c>
      <c r="G7" s="21">
        <f>IF(E7="","",E7/TIME(Settings!$B$2,0,0))</f>
        <v>0.056458333333334</v>
      </c>
      <c r="H7" s="21">
        <f>IF(B7="","",SUM($E$2:E7)/TIME(Settings!$B$2,0,0))</f>
        <v>0.3225</v>
      </c>
      <c r="I7" s="22" t="s">
        <v>14</v>
      </c>
    </row>
    <row r="8" ht="124.2" spans="1:9">
      <c r="A8" s="16">
        <v>7</v>
      </c>
      <c r="B8" s="17">
        <v>46204</v>
      </c>
      <c r="C8" s="18">
        <f t="shared" si="1"/>
        <v>0.16125</v>
      </c>
      <c r="D8" s="18">
        <v>0.187881944444444</v>
      </c>
      <c r="E8" s="19">
        <f t="shared" si="0"/>
        <v>0.026631944444444</v>
      </c>
      <c r="F8" s="20">
        <v>4</v>
      </c>
      <c r="G8" s="21">
        <f>IF(E8="","",E8/TIME(Settings!$B$2,0,0))</f>
        <v>0.053263888888888</v>
      </c>
      <c r="H8" s="21">
        <f>IF(B8="","",SUM($E$2:E8)/TIME(Settings!$B$2,0,0))</f>
        <v>0.375763888888888</v>
      </c>
      <c r="I8" s="23" t="s">
        <v>15</v>
      </c>
    </row>
    <row r="9" ht="179.4" spans="1:9">
      <c r="A9" s="16">
        <v>8</v>
      </c>
      <c r="B9" s="17">
        <v>46209</v>
      </c>
      <c r="C9" s="18">
        <f t="shared" si="1"/>
        <v>0.187881944444444</v>
      </c>
      <c r="D9" s="18">
        <v>0.249131944444444</v>
      </c>
      <c r="E9" s="19">
        <f t="shared" si="0"/>
        <v>0.06125</v>
      </c>
      <c r="F9" s="20">
        <v>4</v>
      </c>
      <c r="G9" s="21">
        <f>IF(E9="","",E9/TIME(Settings!$B$2,0,0))</f>
        <v>0.1225</v>
      </c>
      <c r="H9" s="21">
        <f>IF(B9="","",SUM($E$2:E9)/TIME(Settings!$B$2,0,0))</f>
        <v>0.498263888888888</v>
      </c>
      <c r="I9" s="23" t="s">
        <v>16</v>
      </c>
    </row>
    <row r="10" spans="1:9">
      <c r="A10" s="16">
        <v>9</v>
      </c>
      <c r="B10" s="17">
        <v>46210</v>
      </c>
      <c r="C10" s="18">
        <f t="shared" si="1"/>
        <v>0.249131944444444</v>
      </c>
      <c r="D10" s="18">
        <v>0.272592592592593</v>
      </c>
      <c r="E10" s="19">
        <f t="shared" si="0"/>
        <v>0.023460648148149</v>
      </c>
      <c r="F10" s="20">
        <v>5</v>
      </c>
      <c r="G10" s="21">
        <f>IF(E10="","",E10/TIME(Settings!$B$2,0,0))</f>
        <v>0.046921296296298</v>
      </c>
      <c r="H10" s="21">
        <f>IF(B10="","",SUM($E$2:E10)/TIME(Settings!$B$2,0,0))</f>
        <v>0.545185185185186</v>
      </c>
      <c r="I10" s="22" t="s">
        <v>17</v>
      </c>
    </row>
    <row r="11" spans="1:9">
      <c r="A11" s="16">
        <v>10</v>
      </c>
      <c r="B11" s="17">
        <v>46211</v>
      </c>
      <c r="C11" s="18">
        <f t="shared" si="1"/>
        <v>0.272592592592593</v>
      </c>
      <c r="D11" s="18">
        <v>0.291689814814815</v>
      </c>
      <c r="E11" s="19">
        <f t="shared" si="0"/>
        <v>0.019097222222222</v>
      </c>
      <c r="F11" s="20">
        <v>5</v>
      </c>
      <c r="G11" s="21">
        <f>IF(E11="","",E11/TIME(Settings!$B$2,0,0))</f>
        <v>0.038194444444444</v>
      </c>
      <c r="H11" s="21">
        <f>IF(B11="","",SUM($E$2:E11)/TIME(Settings!$B$2,0,0))</f>
        <v>0.58337962962963</v>
      </c>
      <c r="I11" s="22" t="s">
        <v>18</v>
      </c>
    </row>
    <row r="12" ht="207" spans="1:9">
      <c r="A12" s="16">
        <v>11</v>
      </c>
      <c r="B12" s="17">
        <v>46212</v>
      </c>
      <c r="C12" s="18">
        <f t="shared" si="1"/>
        <v>0.291689814814815</v>
      </c>
      <c r="D12" s="18">
        <v>0.378506944444444</v>
      </c>
      <c r="E12" s="19">
        <f t="shared" si="0"/>
        <v>0.086817129629629</v>
      </c>
      <c r="F12" s="20">
        <v>4</v>
      </c>
      <c r="G12" s="21">
        <f>IF(E12="","",E12/TIME(Settings!$B$2,0,0))</f>
        <v>0.173634259259258</v>
      </c>
      <c r="H12" s="21">
        <f>IF(B12="","",SUM($E$2:E12)/TIME(Settings!$B$2,0,0))</f>
        <v>0.757013888888888</v>
      </c>
      <c r="I12" s="23" t="s">
        <v>19</v>
      </c>
    </row>
    <row r="13" spans="1:9">
      <c r="A13" s="16">
        <v>12</v>
      </c>
      <c r="B13" s="17">
        <v>46213</v>
      </c>
      <c r="C13" s="18">
        <f t="shared" si="1"/>
        <v>0.378506944444444</v>
      </c>
      <c r="D13" s="18">
        <v>0.390497685185185</v>
      </c>
      <c r="E13" s="19">
        <f t="shared" si="0"/>
        <v>0.011990740740741</v>
      </c>
      <c r="F13" s="20">
        <v>5</v>
      </c>
      <c r="G13" s="21">
        <f>IF(E13="","",E13/TIME(Settings!$B$2,0,0))</f>
        <v>0.023981481481482</v>
      </c>
      <c r="H13" s="21">
        <f>IF(B13="","",SUM($E$2:E13)/TIME(Settings!$B$2,0,0))</f>
        <v>0.78099537037037</v>
      </c>
      <c r="I13" s="22" t="s">
        <v>20</v>
      </c>
    </row>
    <row r="14" spans="1:9">
      <c r="A14" s="16">
        <v>13</v>
      </c>
      <c r="B14" s="17">
        <v>46216</v>
      </c>
      <c r="C14" s="18">
        <f t="shared" si="1"/>
        <v>0.390497685185185</v>
      </c>
      <c r="D14" s="18">
        <v>0.411886574074074</v>
      </c>
      <c r="E14" s="19">
        <f t="shared" si="0"/>
        <v>0.021388888888889</v>
      </c>
      <c r="F14" s="20">
        <v>4</v>
      </c>
      <c r="G14" s="21">
        <f>IF(E14="","",E14/TIME(Settings!$B$2,0,0))</f>
        <v>0.0427777777777779</v>
      </c>
      <c r="H14" s="21">
        <f>IF(B14="","",SUM($E$2:E14)/TIME(Settings!$B$2,0,0))</f>
        <v>0.823773148148148</v>
      </c>
      <c r="I14" s="22" t="s">
        <v>21</v>
      </c>
    </row>
    <row r="15" ht="27.6" spans="1:9">
      <c r="A15" s="16">
        <v>14</v>
      </c>
      <c r="B15" s="17">
        <v>46219</v>
      </c>
      <c r="C15" s="18">
        <f t="shared" si="1"/>
        <v>0.411886574074074</v>
      </c>
      <c r="D15" s="18">
        <v>0.450439814814815</v>
      </c>
      <c r="E15" s="19">
        <f t="shared" si="0"/>
        <v>0.038553240740741</v>
      </c>
      <c r="F15" s="20">
        <v>4</v>
      </c>
      <c r="G15" s="21">
        <f>IF(E15="","",E15/TIME(Settings!$B$2,0,0))</f>
        <v>0.077106481481482</v>
      </c>
      <c r="H15" s="21">
        <f>IF(B15="","",SUM($E$2:E15)/TIME(Settings!$B$2,0,0))</f>
        <v>0.90087962962963</v>
      </c>
      <c r="I15" s="23" t="s">
        <v>22</v>
      </c>
    </row>
    <row r="16" spans="1:9">
      <c r="A16" s="16">
        <v>15</v>
      </c>
      <c r="B16" s="17">
        <v>46220</v>
      </c>
      <c r="C16" s="18">
        <f>D15</f>
        <v>0.450439814814815</v>
      </c>
      <c r="D16" s="18">
        <v>0.5</v>
      </c>
      <c r="E16" s="19">
        <f t="shared" si="0"/>
        <v>0.049560185185185</v>
      </c>
      <c r="F16" s="20">
        <v>4</v>
      </c>
      <c r="G16" s="21">
        <f>IF(E16="","",E16/TIME(Settings!$B$2,0,0))</f>
        <v>0.09912037037037</v>
      </c>
      <c r="H16" s="21">
        <f>IF(B16="","",SUM($E$2:E16)/TIME(Settings!$B$2,0,0))</f>
        <v>1</v>
      </c>
      <c r="I16" s="22" t="s">
        <v>23</v>
      </c>
    </row>
    <row r="17" spans="1:9">
      <c r="A17" s="16" t="str">
        <f t="shared" ref="A3:A66" si="2">IF(B17="","",ROW()-1)</f>
        <v/>
      </c>
      <c r="B17" s="17"/>
      <c r="C17" s="18"/>
      <c r="D17" s="18"/>
      <c r="E17" s="19" t="str">
        <f t="shared" si="0"/>
        <v/>
      </c>
      <c r="F17" s="20"/>
      <c r="G17" s="21" t="str">
        <f>IF(E17="","",E17/TIME(Settings!$B$2,0,0))</f>
        <v/>
      </c>
      <c r="H17" s="21" t="str">
        <f>IF(B17="","",SUM($E$2:E17)/TIME(Settings!$B$2,0,0))</f>
        <v/>
      </c>
      <c r="I17" s="22"/>
    </row>
    <row r="18" spans="1:9">
      <c r="A18" s="16" t="str">
        <f t="shared" si="2"/>
        <v/>
      </c>
      <c r="B18" s="17"/>
      <c r="C18" s="18"/>
      <c r="D18" s="18"/>
      <c r="E18" s="19" t="str">
        <f t="shared" si="0"/>
        <v/>
      </c>
      <c r="F18" s="20"/>
      <c r="G18" s="21" t="str">
        <f>IF(E18="","",E18/TIME(Settings!$B$2,0,0))</f>
        <v/>
      </c>
      <c r="H18" s="21" t="str">
        <f>IF(B18="","",SUM($E$2:E18)/TIME(Settings!$B$2,0,0))</f>
        <v/>
      </c>
      <c r="I18" s="22"/>
    </row>
    <row r="19" spans="1:9">
      <c r="A19" s="16" t="str">
        <f t="shared" si="2"/>
        <v/>
      </c>
      <c r="B19" s="17"/>
      <c r="C19" s="18"/>
      <c r="D19" s="18"/>
      <c r="E19" s="19" t="str">
        <f t="shared" si="0"/>
        <v/>
      </c>
      <c r="F19" s="20"/>
      <c r="G19" s="21" t="str">
        <f>IF(E19="","",E19/TIME(Settings!$B$2,0,0))</f>
        <v/>
      </c>
      <c r="H19" s="21" t="str">
        <f>IF(B19="","",SUM($E$2:E19)/TIME(Settings!$B$2,0,0))</f>
        <v/>
      </c>
      <c r="I19" s="22"/>
    </row>
    <row r="20" spans="1:9">
      <c r="A20" s="16" t="str">
        <f t="shared" si="2"/>
        <v/>
      </c>
      <c r="B20" s="17"/>
      <c r="C20" s="18"/>
      <c r="D20" s="18"/>
      <c r="E20" s="19" t="str">
        <f t="shared" si="0"/>
        <v/>
      </c>
      <c r="F20" s="20"/>
      <c r="G20" s="21" t="str">
        <f>IF(E20="","",E20/TIME(Settings!$B$2,0,0))</f>
        <v/>
      </c>
      <c r="H20" s="21" t="str">
        <f>IF(B20="","",SUM($E$2:E20)/TIME(Settings!$B$2,0,0))</f>
        <v/>
      </c>
      <c r="I20" s="22"/>
    </row>
    <row r="21" spans="1:9">
      <c r="A21" s="16" t="str">
        <f t="shared" si="2"/>
        <v/>
      </c>
      <c r="B21" s="17"/>
      <c r="C21" s="18"/>
      <c r="D21" s="18"/>
      <c r="E21" s="19" t="str">
        <f t="shared" si="0"/>
        <v/>
      </c>
      <c r="F21" s="20"/>
      <c r="G21" s="21" t="str">
        <f>IF(E21="","",E21/TIME(Settings!$B$2,0,0))</f>
        <v/>
      </c>
      <c r="H21" s="21" t="str">
        <f>IF(B21="","",SUM($E$2:E21)/TIME(Settings!$B$2,0,0))</f>
        <v/>
      </c>
      <c r="I21" s="22"/>
    </row>
    <row r="22" spans="1:9">
      <c r="A22" s="16" t="str">
        <f t="shared" si="2"/>
        <v/>
      </c>
      <c r="B22" s="17"/>
      <c r="C22" s="18"/>
      <c r="D22" s="18"/>
      <c r="E22" s="19" t="str">
        <f t="shared" si="0"/>
        <v/>
      </c>
      <c r="F22" s="20"/>
      <c r="G22" s="21" t="str">
        <f>IF(E22="","",E22/TIME(Settings!$B$2,0,0))</f>
        <v/>
      </c>
      <c r="H22" s="21" t="str">
        <f>IF(B22="","",SUM($E$2:E22)/TIME(Settings!$B$2,0,0))</f>
        <v/>
      </c>
      <c r="I22" s="22"/>
    </row>
    <row r="23" spans="1:9">
      <c r="A23" s="16" t="str">
        <f t="shared" si="2"/>
        <v/>
      </c>
      <c r="B23" s="17"/>
      <c r="C23" s="18"/>
      <c r="D23" s="18"/>
      <c r="E23" s="19" t="str">
        <f t="shared" si="0"/>
        <v/>
      </c>
      <c r="F23" s="20"/>
      <c r="G23" s="21" t="str">
        <f>IF(E23="","",E23/TIME(Settings!$B$2,0,0))</f>
        <v/>
      </c>
      <c r="H23" s="21" t="str">
        <f>IF(B23="","",SUM($E$2:E23)/TIME(Settings!$B$2,0,0))</f>
        <v/>
      </c>
      <c r="I23" s="22"/>
    </row>
    <row r="24" spans="1:9">
      <c r="A24" s="16" t="str">
        <f t="shared" si="2"/>
        <v/>
      </c>
      <c r="B24" s="17"/>
      <c r="C24" s="18"/>
      <c r="D24" s="18"/>
      <c r="E24" s="19" t="str">
        <f t="shared" si="0"/>
        <v/>
      </c>
      <c r="F24" s="20"/>
      <c r="G24" s="21" t="str">
        <f>IF(E24="","",E24/TIME(Settings!$B$2,0,0))</f>
        <v/>
      </c>
      <c r="H24" s="21" t="str">
        <f>IF(B24="","",SUM($E$2:E24)/TIME(Settings!$B$2,0,0))</f>
        <v/>
      </c>
      <c r="I24" s="22"/>
    </row>
    <row r="25" spans="1:9">
      <c r="A25" s="16" t="str">
        <f t="shared" si="2"/>
        <v/>
      </c>
      <c r="B25" s="17"/>
      <c r="C25" s="18"/>
      <c r="D25" s="18"/>
      <c r="E25" s="19" t="str">
        <f t="shared" si="0"/>
        <v/>
      </c>
      <c r="F25" s="20"/>
      <c r="G25" s="21" t="str">
        <f>IF(E25="","",E25/TIME(Settings!$B$2,0,0))</f>
        <v/>
      </c>
      <c r="H25" s="21" t="str">
        <f>IF(B25="","",SUM($E$2:E25)/TIME(Settings!$B$2,0,0))</f>
        <v/>
      </c>
      <c r="I25" s="22"/>
    </row>
    <row r="26" spans="1:9">
      <c r="A26" s="16" t="str">
        <f t="shared" si="2"/>
        <v/>
      </c>
      <c r="B26" s="17"/>
      <c r="C26" s="18"/>
      <c r="D26" s="18"/>
      <c r="E26" s="19" t="str">
        <f t="shared" si="0"/>
        <v/>
      </c>
      <c r="F26" s="20"/>
      <c r="G26" s="21" t="str">
        <f>IF(E26="","",E26/TIME(Settings!$B$2,0,0))</f>
        <v/>
      </c>
      <c r="H26" s="21" t="str">
        <f>IF(B26="","",SUM($E$2:E26)/TIME(Settings!$B$2,0,0))</f>
        <v/>
      </c>
      <c r="I26" s="22"/>
    </row>
    <row r="27" spans="1:9">
      <c r="A27" s="16" t="str">
        <f t="shared" si="2"/>
        <v/>
      </c>
      <c r="B27" s="17"/>
      <c r="C27" s="18"/>
      <c r="D27" s="18"/>
      <c r="E27" s="19" t="str">
        <f t="shared" si="0"/>
        <v/>
      </c>
      <c r="F27" s="20"/>
      <c r="G27" s="21" t="str">
        <f>IF(E27="","",E27/TIME(Settings!$B$2,0,0))</f>
        <v/>
      </c>
      <c r="H27" s="21" t="str">
        <f>IF(B27="","",SUM($E$2:E27)/TIME(Settings!$B$2,0,0))</f>
        <v/>
      </c>
      <c r="I27" s="22"/>
    </row>
    <row r="28" spans="1:9">
      <c r="A28" s="16" t="str">
        <f t="shared" si="2"/>
        <v/>
      </c>
      <c r="B28" s="17"/>
      <c r="C28" s="18"/>
      <c r="D28" s="18"/>
      <c r="E28" s="19" t="str">
        <f t="shared" si="0"/>
        <v/>
      </c>
      <c r="F28" s="20"/>
      <c r="G28" s="21" t="str">
        <f>IF(E28="","",E28/TIME(Settings!$B$2,0,0))</f>
        <v/>
      </c>
      <c r="H28" s="21" t="str">
        <f>IF(B28="","",SUM($E$2:E28)/TIME(Settings!$B$2,0,0))</f>
        <v/>
      </c>
      <c r="I28" s="22"/>
    </row>
    <row r="29" spans="1:9">
      <c r="A29" s="16" t="str">
        <f t="shared" si="2"/>
        <v/>
      </c>
      <c r="B29" s="17"/>
      <c r="C29" s="18"/>
      <c r="D29" s="18"/>
      <c r="E29" s="19" t="str">
        <f t="shared" si="0"/>
        <v/>
      </c>
      <c r="F29" s="20"/>
      <c r="G29" s="21" t="str">
        <f>IF(E29="","",E29/TIME(Settings!$B$2,0,0))</f>
        <v/>
      </c>
      <c r="H29" s="21" t="str">
        <f>IF(B29="","",SUM($E$2:E29)/TIME(Settings!$B$2,0,0))</f>
        <v/>
      </c>
      <c r="I29" s="22"/>
    </row>
    <row r="30" spans="1:9">
      <c r="A30" s="16" t="str">
        <f t="shared" si="2"/>
        <v/>
      </c>
      <c r="B30" s="17"/>
      <c r="C30" s="18"/>
      <c r="D30" s="18"/>
      <c r="E30" s="19" t="str">
        <f t="shared" si="0"/>
        <v/>
      </c>
      <c r="F30" s="20"/>
      <c r="G30" s="21" t="str">
        <f>IF(E30="","",E30/TIME(Settings!$B$2,0,0))</f>
        <v/>
      </c>
      <c r="H30" s="21" t="str">
        <f>IF(B30="","",SUM($E$2:E30)/TIME(Settings!$B$2,0,0))</f>
        <v/>
      </c>
      <c r="I30" s="22"/>
    </row>
    <row r="31" spans="1:9">
      <c r="A31" s="16" t="str">
        <f t="shared" si="2"/>
        <v/>
      </c>
      <c r="B31" s="17"/>
      <c r="C31" s="18"/>
      <c r="D31" s="18"/>
      <c r="E31" s="19" t="str">
        <f t="shared" si="0"/>
        <v/>
      </c>
      <c r="F31" s="20"/>
      <c r="G31" s="21" t="str">
        <f>IF(E31="","",E31/TIME(Settings!$B$2,0,0))</f>
        <v/>
      </c>
      <c r="H31" s="21" t="str">
        <f>IF(B31="","",SUM($E$2:E31)/TIME(Settings!$B$2,0,0))</f>
        <v/>
      </c>
      <c r="I31" s="22"/>
    </row>
    <row r="32" spans="1:9">
      <c r="A32" s="16" t="str">
        <f t="shared" si="2"/>
        <v/>
      </c>
      <c r="B32" s="17"/>
      <c r="C32" s="18"/>
      <c r="D32" s="18"/>
      <c r="E32" s="19" t="str">
        <f t="shared" si="0"/>
        <v/>
      </c>
      <c r="F32" s="20"/>
      <c r="G32" s="21" t="str">
        <f>IF(E32="","",E32/TIME(Settings!$B$2,0,0))</f>
        <v/>
      </c>
      <c r="H32" s="21" t="str">
        <f>IF(B32="","",SUM($E$2:E32)/TIME(Settings!$B$2,0,0))</f>
        <v/>
      </c>
      <c r="I32" s="22"/>
    </row>
    <row r="33" spans="1:9">
      <c r="A33" s="16" t="str">
        <f t="shared" si="2"/>
        <v/>
      </c>
      <c r="B33" s="17"/>
      <c r="C33" s="18"/>
      <c r="D33" s="18"/>
      <c r="E33" s="19" t="str">
        <f t="shared" si="0"/>
        <v/>
      </c>
      <c r="F33" s="20"/>
      <c r="G33" s="21" t="str">
        <f>IF(E33="","",E33/TIME(Settings!$B$2,0,0))</f>
        <v/>
      </c>
      <c r="H33" s="21" t="str">
        <f>IF(B33="","",SUM($E$2:E33)/TIME(Settings!$B$2,0,0))</f>
        <v/>
      </c>
      <c r="I33" s="22"/>
    </row>
    <row r="34" spans="1:9">
      <c r="A34" s="16" t="str">
        <f t="shared" si="2"/>
        <v/>
      </c>
      <c r="B34" s="17"/>
      <c r="C34" s="18"/>
      <c r="D34" s="18"/>
      <c r="E34" s="19" t="str">
        <f t="shared" si="0"/>
        <v/>
      </c>
      <c r="F34" s="20"/>
      <c r="G34" s="21" t="str">
        <f>IF(E34="","",E34/TIME(Settings!$B$2,0,0))</f>
        <v/>
      </c>
      <c r="H34" s="21" t="str">
        <f>IF(B34="","",SUM($E$2:E34)/TIME(Settings!$B$2,0,0))</f>
        <v/>
      </c>
      <c r="I34" s="22"/>
    </row>
    <row r="35" spans="1:9">
      <c r="A35" s="16" t="str">
        <f t="shared" si="2"/>
        <v/>
      </c>
      <c r="B35" s="17"/>
      <c r="C35" s="18"/>
      <c r="D35" s="18"/>
      <c r="E35" s="19" t="str">
        <f t="shared" si="0"/>
        <v/>
      </c>
      <c r="F35" s="20"/>
      <c r="G35" s="21" t="str">
        <f>IF(E35="","",E35/TIME(Settings!$B$2,0,0))</f>
        <v/>
      </c>
      <c r="H35" s="21" t="str">
        <f>IF(B35="","",SUM($E$2:E35)/TIME(Settings!$B$2,0,0))</f>
        <v/>
      </c>
      <c r="I35" s="22"/>
    </row>
    <row r="36" spans="1:9">
      <c r="A36" s="16" t="str">
        <f t="shared" si="2"/>
        <v/>
      </c>
      <c r="B36" s="17"/>
      <c r="C36" s="18"/>
      <c r="D36" s="18"/>
      <c r="E36" s="19" t="str">
        <f t="shared" si="0"/>
        <v/>
      </c>
      <c r="F36" s="20"/>
      <c r="G36" s="21" t="str">
        <f>IF(E36="","",E36/TIME(Settings!$B$2,0,0))</f>
        <v/>
      </c>
      <c r="H36" s="21" t="str">
        <f>IF(B36="","",SUM($E$2:E36)/TIME(Settings!$B$2,0,0))</f>
        <v/>
      </c>
      <c r="I36" s="22"/>
    </row>
    <row r="37" spans="1:9">
      <c r="A37" s="16" t="str">
        <f t="shared" si="2"/>
        <v/>
      </c>
      <c r="B37" s="17"/>
      <c r="C37" s="18"/>
      <c r="D37" s="18"/>
      <c r="E37" s="19" t="str">
        <f t="shared" si="0"/>
        <v/>
      </c>
      <c r="F37" s="20"/>
      <c r="G37" s="21" t="str">
        <f>IF(E37="","",E37/TIME(Settings!$B$2,0,0))</f>
        <v/>
      </c>
      <c r="H37" s="21" t="str">
        <f>IF(B37="","",SUM($E$2:E37)/TIME(Settings!$B$2,0,0))</f>
        <v/>
      </c>
      <c r="I37" s="22"/>
    </row>
    <row r="38" spans="1:9">
      <c r="A38" s="16" t="str">
        <f t="shared" si="2"/>
        <v/>
      </c>
      <c r="B38" s="17"/>
      <c r="C38" s="18"/>
      <c r="D38" s="18"/>
      <c r="E38" s="19" t="str">
        <f t="shared" si="0"/>
        <v/>
      </c>
      <c r="F38" s="20"/>
      <c r="G38" s="21" t="str">
        <f>IF(E38="","",E38/TIME(Settings!$B$2,0,0))</f>
        <v/>
      </c>
      <c r="H38" s="21" t="str">
        <f>IF(B38="","",SUM($E$2:E38)/TIME(Settings!$B$2,0,0))</f>
        <v/>
      </c>
      <c r="I38" s="22"/>
    </row>
    <row r="39" spans="1:9">
      <c r="A39" s="16" t="str">
        <f t="shared" si="2"/>
        <v/>
      </c>
      <c r="B39" s="17"/>
      <c r="C39" s="18"/>
      <c r="D39" s="18"/>
      <c r="E39" s="19" t="str">
        <f t="shared" si="0"/>
        <v/>
      </c>
      <c r="F39" s="20"/>
      <c r="G39" s="21" t="str">
        <f>IF(E39="","",E39/TIME(Settings!$B$2,0,0))</f>
        <v/>
      </c>
      <c r="H39" s="21" t="str">
        <f>IF(B39="","",SUM($E$2:E39)/TIME(Settings!$B$2,0,0))</f>
        <v/>
      </c>
      <c r="I39" s="22"/>
    </row>
    <row r="40" spans="1:9">
      <c r="A40" s="16" t="str">
        <f t="shared" si="2"/>
        <v/>
      </c>
      <c r="B40" s="17"/>
      <c r="C40" s="18"/>
      <c r="D40" s="18"/>
      <c r="E40" s="19" t="str">
        <f t="shared" si="0"/>
        <v/>
      </c>
      <c r="F40" s="20"/>
      <c r="G40" s="21" t="str">
        <f>IF(E40="","",E40/TIME(Settings!$B$2,0,0))</f>
        <v/>
      </c>
      <c r="H40" s="21" t="str">
        <f>IF(B40="","",SUM($E$2:E40)/TIME(Settings!$B$2,0,0))</f>
        <v/>
      </c>
      <c r="I40" s="22"/>
    </row>
    <row r="41" spans="1:9">
      <c r="A41" s="16" t="str">
        <f t="shared" si="2"/>
        <v/>
      </c>
      <c r="B41" s="17"/>
      <c r="C41" s="18"/>
      <c r="D41" s="18"/>
      <c r="E41" s="19" t="str">
        <f t="shared" si="0"/>
        <v/>
      </c>
      <c r="F41" s="20"/>
      <c r="G41" s="21" t="str">
        <f>IF(E41="","",E41/TIME(Settings!$B$2,0,0))</f>
        <v/>
      </c>
      <c r="H41" s="21" t="str">
        <f>IF(B41="","",SUM($E$2:E41)/TIME(Settings!$B$2,0,0))</f>
        <v/>
      </c>
      <c r="I41" s="22"/>
    </row>
    <row r="42" spans="1:9">
      <c r="A42" s="16" t="str">
        <f t="shared" si="2"/>
        <v/>
      </c>
      <c r="B42" s="17"/>
      <c r="C42" s="18"/>
      <c r="D42" s="18"/>
      <c r="E42" s="19" t="str">
        <f t="shared" si="0"/>
        <v/>
      </c>
      <c r="F42" s="20"/>
      <c r="G42" s="21" t="str">
        <f>IF(E42="","",E42/TIME(Settings!$B$2,0,0))</f>
        <v/>
      </c>
      <c r="H42" s="21" t="str">
        <f>IF(B42="","",SUM($E$2:E42)/TIME(Settings!$B$2,0,0))</f>
        <v/>
      </c>
      <c r="I42" s="22"/>
    </row>
    <row r="43" spans="1:9">
      <c r="A43" s="16" t="str">
        <f t="shared" si="2"/>
        <v/>
      </c>
      <c r="B43" s="17"/>
      <c r="C43" s="18"/>
      <c r="D43" s="18"/>
      <c r="E43" s="19" t="str">
        <f t="shared" si="0"/>
        <v/>
      </c>
      <c r="F43" s="20"/>
      <c r="G43" s="21" t="str">
        <f>IF(E43="","",E43/TIME(Settings!$B$2,0,0))</f>
        <v/>
      </c>
      <c r="H43" s="21" t="str">
        <f>IF(B43="","",SUM($E$2:E43)/TIME(Settings!$B$2,0,0))</f>
        <v/>
      </c>
      <c r="I43" s="22"/>
    </row>
    <row r="44" spans="1:9">
      <c r="A44" s="16" t="str">
        <f t="shared" si="2"/>
        <v/>
      </c>
      <c r="B44" s="17"/>
      <c r="C44" s="18"/>
      <c r="D44" s="18"/>
      <c r="E44" s="19" t="str">
        <f t="shared" si="0"/>
        <v/>
      </c>
      <c r="F44" s="20"/>
      <c r="G44" s="21" t="str">
        <f>IF(E44="","",E44/TIME(Settings!$B$2,0,0))</f>
        <v/>
      </c>
      <c r="H44" s="21" t="str">
        <f>IF(B44="","",SUM($E$2:E44)/TIME(Settings!$B$2,0,0))</f>
        <v/>
      </c>
      <c r="I44" s="22"/>
    </row>
    <row r="45" spans="1:9">
      <c r="A45" s="16" t="str">
        <f t="shared" si="2"/>
        <v/>
      </c>
      <c r="B45" s="17"/>
      <c r="C45" s="18"/>
      <c r="D45" s="18"/>
      <c r="E45" s="19" t="str">
        <f t="shared" si="0"/>
        <v/>
      </c>
      <c r="F45" s="20"/>
      <c r="G45" s="21" t="str">
        <f>IF(E45="","",E45/TIME(Settings!$B$2,0,0))</f>
        <v/>
      </c>
      <c r="H45" s="21" t="str">
        <f>IF(B45="","",SUM($E$2:E45)/TIME(Settings!$B$2,0,0))</f>
        <v/>
      </c>
      <c r="I45" s="22"/>
    </row>
    <row r="46" spans="1:9">
      <c r="A46" s="16" t="str">
        <f t="shared" si="2"/>
        <v/>
      </c>
      <c r="B46" s="17"/>
      <c r="C46" s="18"/>
      <c r="D46" s="18"/>
      <c r="E46" s="19" t="str">
        <f t="shared" si="0"/>
        <v/>
      </c>
      <c r="F46" s="20"/>
      <c r="G46" s="21" t="str">
        <f>IF(E46="","",E46/TIME(Settings!$B$2,0,0))</f>
        <v/>
      </c>
      <c r="H46" s="21" t="str">
        <f>IF(B46="","",SUM($E$2:E46)/TIME(Settings!$B$2,0,0))</f>
        <v/>
      </c>
      <c r="I46" s="22"/>
    </row>
    <row r="47" spans="1:9">
      <c r="A47" s="16" t="str">
        <f t="shared" si="2"/>
        <v/>
      </c>
      <c r="B47" s="17"/>
      <c r="C47" s="18"/>
      <c r="D47" s="18"/>
      <c r="E47" s="19" t="str">
        <f t="shared" si="0"/>
        <v/>
      </c>
      <c r="F47" s="20"/>
      <c r="G47" s="21" t="str">
        <f>IF(E47="","",E47/TIME(Settings!$B$2,0,0))</f>
        <v/>
      </c>
      <c r="H47" s="21" t="str">
        <f>IF(B47="","",SUM($E$2:E47)/TIME(Settings!$B$2,0,0))</f>
        <v/>
      </c>
      <c r="I47" s="22"/>
    </row>
    <row r="48" spans="1:9">
      <c r="A48" s="16" t="str">
        <f t="shared" si="2"/>
        <v/>
      </c>
      <c r="B48" s="17"/>
      <c r="C48" s="18"/>
      <c r="D48" s="18"/>
      <c r="E48" s="19" t="str">
        <f t="shared" si="0"/>
        <v/>
      </c>
      <c r="F48" s="20"/>
      <c r="G48" s="21" t="str">
        <f>IF(E48="","",E48/TIME(Settings!$B$2,0,0))</f>
        <v/>
      </c>
      <c r="H48" s="21" t="str">
        <f>IF(B48="","",SUM($E$2:E48)/TIME(Settings!$B$2,0,0))</f>
        <v/>
      </c>
      <c r="I48" s="22"/>
    </row>
    <row r="49" spans="1:9">
      <c r="A49" s="16" t="str">
        <f t="shared" si="2"/>
        <v/>
      </c>
      <c r="B49" s="17"/>
      <c r="C49" s="18"/>
      <c r="D49" s="18"/>
      <c r="E49" s="19" t="str">
        <f t="shared" si="0"/>
        <v/>
      </c>
      <c r="F49" s="20"/>
      <c r="G49" s="21" t="str">
        <f>IF(E49="","",E49/TIME(Settings!$B$2,0,0))</f>
        <v/>
      </c>
      <c r="H49" s="21" t="str">
        <f>IF(B49="","",SUM($E$2:E49)/TIME(Settings!$B$2,0,0))</f>
        <v/>
      </c>
      <c r="I49" s="22"/>
    </row>
    <row r="50" spans="1:9">
      <c r="A50" s="16" t="str">
        <f t="shared" si="2"/>
        <v/>
      </c>
      <c r="B50" s="17"/>
      <c r="C50" s="18"/>
      <c r="D50" s="18"/>
      <c r="E50" s="19" t="str">
        <f t="shared" si="0"/>
        <v/>
      </c>
      <c r="F50" s="20"/>
      <c r="G50" s="21" t="str">
        <f>IF(E50="","",E50/TIME(Settings!$B$2,0,0))</f>
        <v/>
      </c>
      <c r="H50" s="21" t="str">
        <f>IF(B50="","",SUM($E$2:E50)/TIME(Settings!$B$2,0,0))</f>
        <v/>
      </c>
      <c r="I50" s="22"/>
    </row>
    <row r="51" spans="1:9">
      <c r="A51" s="16" t="str">
        <f t="shared" si="2"/>
        <v/>
      </c>
      <c r="B51" s="17"/>
      <c r="C51" s="18"/>
      <c r="D51" s="18"/>
      <c r="E51" s="19" t="str">
        <f t="shared" si="0"/>
        <v/>
      </c>
      <c r="F51" s="20"/>
      <c r="G51" s="21" t="str">
        <f>IF(E51="","",E51/TIME(Settings!$B$2,0,0))</f>
        <v/>
      </c>
      <c r="H51" s="21" t="str">
        <f>IF(B51="","",SUM($E$2:E51)/TIME(Settings!$B$2,0,0))</f>
        <v/>
      </c>
      <c r="I51" s="22"/>
    </row>
    <row r="52" spans="1:9">
      <c r="A52" s="16" t="str">
        <f t="shared" si="2"/>
        <v/>
      </c>
      <c r="B52" s="17"/>
      <c r="C52" s="18"/>
      <c r="D52" s="18"/>
      <c r="E52" s="19" t="str">
        <f t="shared" si="0"/>
        <v/>
      </c>
      <c r="F52" s="20"/>
      <c r="G52" s="21" t="str">
        <f>IF(E52="","",E52/TIME(Settings!$B$2,0,0))</f>
        <v/>
      </c>
      <c r="H52" s="21" t="str">
        <f>IF(B52="","",SUM($E$2:E52)/TIME(Settings!$B$2,0,0))</f>
        <v/>
      </c>
      <c r="I52" s="22"/>
    </row>
    <row r="53" spans="1:9">
      <c r="A53" s="16" t="str">
        <f t="shared" si="2"/>
        <v/>
      </c>
      <c r="B53" s="17"/>
      <c r="C53" s="18"/>
      <c r="D53" s="18"/>
      <c r="E53" s="19" t="str">
        <f t="shared" si="0"/>
        <v/>
      </c>
      <c r="F53" s="20"/>
      <c r="G53" s="21" t="str">
        <f>IF(E53="","",E53/TIME(Settings!$B$2,0,0))</f>
        <v/>
      </c>
      <c r="H53" s="21" t="str">
        <f>IF(B53="","",SUM($E$2:E53)/TIME(Settings!$B$2,0,0))</f>
        <v/>
      </c>
      <c r="I53" s="22"/>
    </row>
    <row r="54" spans="1:9">
      <c r="A54" s="16" t="str">
        <f t="shared" si="2"/>
        <v/>
      </c>
      <c r="B54" s="17"/>
      <c r="C54" s="18"/>
      <c r="D54" s="18"/>
      <c r="E54" s="19" t="str">
        <f t="shared" si="0"/>
        <v/>
      </c>
      <c r="F54" s="20"/>
      <c r="G54" s="21" t="str">
        <f>IF(E54="","",E54/TIME(Settings!$B$2,0,0))</f>
        <v/>
      </c>
      <c r="H54" s="21" t="str">
        <f>IF(B54="","",SUM($E$2:E54)/TIME(Settings!$B$2,0,0))</f>
        <v/>
      </c>
      <c r="I54" s="22"/>
    </row>
    <row r="55" spans="1:9">
      <c r="A55" s="16" t="str">
        <f t="shared" si="2"/>
        <v/>
      </c>
      <c r="B55" s="17"/>
      <c r="C55" s="18"/>
      <c r="D55" s="18"/>
      <c r="E55" s="19" t="str">
        <f t="shared" si="0"/>
        <v/>
      </c>
      <c r="F55" s="20"/>
      <c r="G55" s="21" t="str">
        <f>IF(E55="","",E55/TIME(Settings!$B$2,0,0))</f>
        <v/>
      </c>
      <c r="H55" s="21" t="str">
        <f>IF(B55="","",SUM($E$2:E55)/TIME(Settings!$B$2,0,0))</f>
        <v/>
      </c>
      <c r="I55" s="22"/>
    </row>
    <row r="56" spans="1:9">
      <c r="A56" s="16" t="str">
        <f t="shared" si="2"/>
        <v/>
      </c>
      <c r="B56" s="17"/>
      <c r="C56" s="18"/>
      <c r="D56" s="18"/>
      <c r="E56" s="19" t="str">
        <f t="shared" si="0"/>
        <v/>
      </c>
      <c r="F56" s="20"/>
      <c r="G56" s="21" t="str">
        <f>IF(E56="","",E56/TIME(Settings!$B$2,0,0))</f>
        <v/>
      </c>
      <c r="H56" s="21" t="str">
        <f>IF(B56="","",SUM($E$2:E56)/TIME(Settings!$B$2,0,0))</f>
        <v/>
      </c>
      <c r="I56" s="22"/>
    </row>
    <row r="57" spans="1:9">
      <c r="A57" s="16" t="str">
        <f t="shared" si="2"/>
        <v/>
      </c>
      <c r="B57" s="17"/>
      <c r="C57" s="18"/>
      <c r="D57" s="18"/>
      <c r="E57" s="19" t="str">
        <f t="shared" si="0"/>
        <v/>
      </c>
      <c r="F57" s="20"/>
      <c r="G57" s="21" t="str">
        <f>IF(E57="","",E57/TIME(Settings!$B$2,0,0))</f>
        <v/>
      </c>
      <c r="H57" s="21" t="str">
        <f>IF(B57="","",SUM($E$2:E57)/TIME(Settings!$B$2,0,0))</f>
        <v/>
      </c>
      <c r="I57" s="22"/>
    </row>
    <row r="58" spans="1:9">
      <c r="A58" s="16" t="str">
        <f t="shared" si="2"/>
        <v/>
      </c>
      <c r="B58" s="17"/>
      <c r="C58" s="18"/>
      <c r="D58" s="18"/>
      <c r="E58" s="19" t="str">
        <f t="shared" si="0"/>
        <v/>
      </c>
      <c r="F58" s="20"/>
      <c r="G58" s="21" t="str">
        <f>IF(E58="","",E58/TIME(Settings!$B$2,0,0))</f>
        <v/>
      </c>
      <c r="H58" s="21" t="str">
        <f>IF(B58="","",SUM($E$2:E58)/TIME(Settings!$B$2,0,0))</f>
        <v/>
      </c>
      <c r="I58" s="22"/>
    </row>
    <row r="59" spans="1:9">
      <c r="A59" s="16" t="str">
        <f t="shared" si="2"/>
        <v/>
      </c>
      <c r="B59" s="17"/>
      <c r="C59" s="18"/>
      <c r="D59" s="18"/>
      <c r="E59" s="19" t="str">
        <f t="shared" si="0"/>
        <v/>
      </c>
      <c r="F59" s="20"/>
      <c r="G59" s="21" t="str">
        <f>IF(E59="","",E59/TIME(Settings!$B$2,0,0))</f>
        <v/>
      </c>
      <c r="H59" s="21" t="str">
        <f>IF(B59="","",SUM($E$2:E59)/TIME(Settings!$B$2,0,0))</f>
        <v/>
      </c>
      <c r="I59" s="22"/>
    </row>
    <row r="60" spans="1:9">
      <c r="A60" s="16" t="str">
        <f t="shared" si="2"/>
        <v/>
      </c>
      <c r="B60" s="17"/>
      <c r="C60" s="18"/>
      <c r="D60" s="18"/>
      <c r="E60" s="19" t="str">
        <f t="shared" si="0"/>
        <v/>
      </c>
      <c r="F60" s="20"/>
      <c r="G60" s="21" t="str">
        <f>IF(E60="","",E60/TIME(Settings!$B$2,0,0))</f>
        <v/>
      </c>
      <c r="H60" s="21" t="str">
        <f>IF(B60="","",SUM($E$2:E60)/TIME(Settings!$B$2,0,0))</f>
        <v/>
      </c>
      <c r="I60" s="22"/>
    </row>
    <row r="61" spans="1:9">
      <c r="A61" s="16" t="str">
        <f t="shared" si="2"/>
        <v/>
      </c>
      <c r="B61" s="17"/>
      <c r="C61" s="18"/>
      <c r="D61" s="18"/>
      <c r="E61" s="19" t="str">
        <f t="shared" si="0"/>
        <v/>
      </c>
      <c r="F61" s="20"/>
      <c r="G61" s="21" t="str">
        <f>IF(E61="","",E61/TIME(Settings!$B$2,0,0))</f>
        <v/>
      </c>
      <c r="H61" s="21" t="str">
        <f>IF(B61="","",SUM($E$2:E61)/TIME(Settings!$B$2,0,0))</f>
        <v/>
      </c>
      <c r="I61" s="22"/>
    </row>
    <row r="62" spans="1:9">
      <c r="A62" s="16" t="str">
        <f t="shared" si="2"/>
        <v/>
      </c>
      <c r="B62" s="17"/>
      <c r="C62" s="18"/>
      <c r="D62" s="18"/>
      <c r="E62" s="19" t="str">
        <f t="shared" si="0"/>
        <v/>
      </c>
      <c r="F62" s="20"/>
      <c r="G62" s="21" t="str">
        <f>IF(E62="","",E62/TIME(Settings!$B$2,0,0))</f>
        <v/>
      </c>
      <c r="H62" s="21" t="str">
        <f>IF(B62="","",SUM($E$2:E62)/TIME(Settings!$B$2,0,0))</f>
        <v/>
      </c>
      <c r="I62" s="22"/>
    </row>
    <row r="63" spans="1:9">
      <c r="A63" s="16" t="str">
        <f t="shared" si="2"/>
        <v/>
      </c>
      <c r="B63" s="17"/>
      <c r="C63" s="18"/>
      <c r="D63" s="18"/>
      <c r="E63" s="19" t="str">
        <f t="shared" si="0"/>
        <v/>
      </c>
      <c r="F63" s="20"/>
      <c r="G63" s="21" t="str">
        <f>IF(E63="","",E63/TIME(Settings!$B$2,0,0))</f>
        <v/>
      </c>
      <c r="H63" s="21" t="str">
        <f>IF(B63="","",SUM($E$2:E63)/TIME(Settings!$B$2,0,0))</f>
        <v/>
      </c>
      <c r="I63" s="22"/>
    </row>
    <row r="64" spans="1:9">
      <c r="A64" s="16" t="str">
        <f t="shared" si="2"/>
        <v/>
      </c>
      <c r="B64" s="17"/>
      <c r="C64" s="18"/>
      <c r="D64" s="18"/>
      <c r="E64" s="19" t="str">
        <f t="shared" si="0"/>
        <v/>
      </c>
      <c r="F64" s="20"/>
      <c r="G64" s="21" t="str">
        <f>IF(E64="","",E64/TIME(Settings!$B$2,0,0))</f>
        <v/>
      </c>
      <c r="H64" s="21" t="str">
        <f>IF(B64="","",SUM($E$2:E64)/TIME(Settings!$B$2,0,0))</f>
        <v/>
      </c>
      <c r="I64" s="22"/>
    </row>
    <row r="65" spans="1:9">
      <c r="A65" s="16" t="str">
        <f t="shared" si="2"/>
        <v/>
      </c>
      <c r="B65" s="17"/>
      <c r="C65" s="18"/>
      <c r="D65" s="18"/>
      <c r="E65" s="19" t="str">
        <f t="shared" si="0"/>
        <v/>
      </c>
      <c r="F65" s="20"/>
      <c r="G65" s="21" t="str">
        <f>IF(E65="","",E65/TIME(Settings!$B$2,0,0))</f>
        <v/>
      </c>
      <c r="H65" s="21" t="str">
        <f>IF(B65="","",SUM($E$2:E65)/TIME(Settings!$B$2,0,0))</f>
        <v/>
      </c>
      <c r="I65" s="22"/>
    </row>
    <row r="66" spans="1:9">
      <c r="A66" s="16" t="str">
        <f t="shared" si="2"/>
        <v/>
      </c>
      <c r="B66" s="17"/>
      <c r="C66" s="18"/>
      <c r="D66" s="18"/>
      <c r="E66" s="19" t="str">
        <f t="shared" ref="E66:E101" si="3">IF(COUNTA(C66:D66)&lt;2,"",MOD(D66-C66,1))</f>
        <v/>
      </c>
      <c r="F66" s="20"/>
      <c r="G66" s="21" t="str">
        <f>IF(E66="","",E66/TIME(Settings!$B$2,0,0))</f>
        <v/>
      </c>
      <c r="H66" s="21" t="str">
        <f>IF(B66="","",SUM($E$2:E66)/TIME(Settings!$B$2,0,0))</f>
        <v/>
      </c>
      <c r="I66" s="22"/>
    </row>
    <row r="67" spans="1:9">
      <c r="A67" s="16" t="str">
        <f t="shared" ref="A67:A101" si="4">IF(B67="","",ROW()-1)</f>
        <v/>
      </c>
      <c r="B67" s="17"/>
      <c r="C67" s="18"/>
      <c r="D67" s="18"/>
      <c r="E67" s="19" t="str">
        <f t="shared" si="3"/>
        <v/>
      </c>
      <c r="F67" s="20"/>
      <c r="G67" s="21" t="str">
        <f>IF(E67="","",E67/TIME(Settings!$B$2,0,0))</f>
        <v/>
      </c>
      <c r="H67" s="21" t="str">
        <f>IF(B67="","",SUM($E$2:E67)/TIME(Settings!$B$2,0,0))</f>
        <v/>
      </c>
      <c r="I67" s="22"/>
    </row>
    <row r="68" spans="1:9">
      <c r="A68" s="16" t="str">
        <f t="shared" si="4"/>
        <v/>
      </c>
      <c r="B68" s="17"/>
      <c r="C68" s="18"/>
      <c r="D68" s="18"/>
      <c r="E68" s="19" t="str">
        <f t="shared" si="3"/>
        <v/>
      </c>
      <c r="F68" s="20"/>
      <c r="G68" s="21" t="str">
        <f>IF(E68="","",E68/TIME(Settings!$B$2,0,0))</f>
        <v/>
      </c>
      <c r="H68" s="21" t="str">
        <f>IF(B68="","",SUM($E$2:E68)/TIME(Settings!$B$2,0,0))</f>
        <v/>
      </c>
      <c r="I68" s="22"/>
    </row>
    <row r="69" spans="1:9">
      <c r="A69" s="16" t="str">
        <f t="shared" si="4"/>
        <v/>
      </c>
      <c r="B69" s="17"/>
      <c r="C69" s="18"/>
      <c r="D69" s="18"/>
      <c r="E69" s="19" t="str">
        <f t="shared" si="3"/>
        <v/>
      </c>
      <c r="F69" s="20"/>
      <c r="G69" s="21" t="str">
        <f>IF(E69="","",E69/TIME(Settings!$B$2,0,0))</f>
        <v/>
      </c>
      <c r="H69" s="21" t="str">
        <f>IF(B69="","",SUM($E$2:E69)/TIME(Settings!$B$2,0,0))</f>
        <v/>
      </c>
      <c r="I69" s="22"/>
    </row>
    <row r="70" spans="1:9">
      <c r="A70" s="16" t="str">
        <f t="shared" si="4"/>
        <v/>
      </c>
      <c r="B70" s="17"/>
      <c r="C70" s="18"/>
      <c r="D70" s="18"/>
      <c r="E70" s="19" t="str">
        <f t="shared" si="3"/>
        <v/>
      </c>
      <c r="F70" s="20"/>
      <c r="G70" s="21" t="str">
        <f>IF(E70="","",E70/TIME(Settings!$B$2,0,0))</f>
        <v/>
      </c>
      <c r="H70" s="21" t="str">
        <f>IF(B70="","",SUM($E$2:E70)/TIME(Settings!$B$2,0,0))</f>
        <v/>
      </c>
      <c r="I70" s="22"/>
    </row>
    <row r="71" spans="1:9">
      <c r="A71" s="16" t="str">
        <f t="shared" si="4"/>
        <v/>
      </c>
      <c r="B71" s="17"/>
      <c r="C71" s="18"/>
      <c r="D71" s="18"/>
      <c r="E71" s="19" t="str">
        <f t="shared" si="3"/>
        <v/>
      </c>
      <c r="F71" s="20"/>
      <c r="G71" s="21" t="str">
        <f>IF(E71="","",E71/TIME(Settings!$B$2,0,0))</f>
        <v/>
      </c>
      <c r="H71" s="21" t="str">
        <f>IF(B71="","",SUM($E$2:E71)/TIME(Settings!$B$2,0,0))</f>
        <v/>
      </c>
      <c r="I71" s="22"/>
    </row>
    <row r="72" spans="1:9">
      <c r="A72" s="16" t="str">
        <f t="shared" si="4"/>
        <v/>
      </c>
      <c r="B72" s="17"/>
      <c r="C72" s="18"/>
      <c r="D72" s="18"/>
      <c r="E72" s="19" t="str">
        <f t="shared" si="3"/>
        <v/>
      </c>
      <c r="F72" s="20"/>
      <c r="G72" s="21" t="str">
        <f>IF(E72="","",E72/TIME(Settings!$B$2,0,0))</f>
        <v/>
      </c>
      <c r="H72" s="21" t="str">
        <f>IF(B72="","",SUM($E$2:E72)/TIME(Settings!$B$2,0,0))</f>
        <v/>
      </c>
      <c r="I72" s="22"/>
    </row>
    <row r="73" spans="1:9">
      <c r="A73" s="16" t="str">
        <f t="shared" si="4"/>
        <v/>
      </c>
      <c r="B73" s="17"/>
      <c r="C73" s="18"/>
      <c r="D73" s="18"/>
      <c r="E73" s="19" t="str">
        <f t="shared" si="3"/>
        <v/>
      </c>
      <c r="F73" s="20"/>
      <c r="G73" s="21" t="str">
        <f>IF(E73="","",E73/TIME(Settings!$B$2,0,0))</f>
        <v/>
      </c>
      <c r="H73" s="21" t="str">
        <f>IF(B73="","",SUM($E$2:E73)/TIME(Settings!$B$2,0,0))</f>
        <v/>
      </c>
      <c r="I73" s="22"/>
    </row>
    <row r="74" spans="1:9">
      <c r="A74" s="16" t="str">
        <f t="shared" si="4"/>
        <v/>
      </c>
      <c r="B74" s="17"/>
      <c r="C74" s="18"/>
      <c r="D74" s="18"/>
      <c r="E74" s="19" t="str">
        <f t="shared" si="3"/>
        <v/>
      </c>
      <c r="F74" s="20"/>
      <c r="G74" s="21" t="str">
        <f>IF(E74="","",E74/TIME(Settings!$B$2,0,0))</f>
        <v/>
      </c>
      <c r="H74" s="21" t="str">
        <f>IF(B74="","",SUM($E$2:E74)/TIME(Settings!$B$2,0,0))</f>
        <v/>
      </c>
      <c r="I74" s="22"/>
    </row>
    <row r="75" spans="1:9">
      <c r="A75" s="16" t="str">
        <f t="shared" si="4"/>
        <v/>
      </c>
      <c r="B75" s="17"/>
      <c r="C75" s="18"/>
      <c r="D75" s="18"/>
      <c r="E75" s="19" t="str">
        <f t="shared" si="3"/>
        <v/>
      </c>
      <c r="F75" s="20"/>
      <c r="G75" s="21" t="str">
        <f>IF(E75="","",E75/TIME(Settings!$B$2,0,0))</f>
        <v/>
      </c>
      <c r="H75" s="21" t="str">
        <f>IF(B75="","",SUM($E$2:E75)/TIME(Settings!$B$2,0,0))</f>
        <v/>
      </c>
      <c r="I75" s="22"/>
    </row>
    <row r="76" spans="1:9">
      <c r="A76" s="16" t="str">
        <f t="shared" si="4"/>
        <v/>
      </c>
      <c r="B76" s="17"/>
      <c r="C76" s="18"/>
      <c r="D76" s="18"/>
      <c r="E76" s="19" t="str">
        <f t="shared" si="3"/>
        <v/>
      </c>
      <c r="F76" s="20"/>
      <c r="G76" s="21" t="str">
        <f>IF(E76="","",E76/TIME(Settings!$B$2,0,0))</f>
        <v/>
      </c>
      <c r="H76" s="21" t="str">
        <f>IF(B76="","",SUM($E$2:E76)/TIME(Settings!$B$2,0,0))</f>
        <v/>
      </c>
      <c r="I76" s="22"/>
    </row>
    <row r="77" spans="1:9">
      <c r="A77" s="16" t="str">
        <f t="shared" si="4"/>
        <v/>
      </c>
      <c r="B77" s="17"/>
      <c r="C77" s="18"/>
      <c r="D77" s="18"/>
      <c r="E77" s="19" t="str">
        <f t="shared" si="3"/>
        <v/>
      </c>
      <c r="F77" s="20"/>
      <c r="G77" s="21" t="str">
        <f>IF(E77="","",E77/TIME(Settings!$B$2,0,0))</f>
        <v/>
      </c>
      <c r="H77" s="21" t="str">
        <f>IF(B77="","",SUM($E$2:E77)/TIME(Settings!$B$2,0,0))</f>
        <v/>
      </c>
      <c r="I77" s="22"/>
    </row>
    <row r="78" spans="1:9">
      <c r="A78" s="16" t="str">
        <f t="shared" si="4"/>
        <v/>
      </c>
      <c r="B78" s="17"/>
      <c r="C78" s="18"/>
      <c r="D78" s="18"/>
      <c r="E78" s="19" t="str">
        <f t="shared" si="3"/>
        <v/>
      </c>
      <c r="F78" s="20"/>
      <c r="G78" s="21" t="str">
        <f>IF(E78="","",E78/TIME(Settings!$B$2,0,0))</f>
        <v/>
      </c>
      <c r="H78" s="21" t="str">
        <f>IF(B78="","",SUM($E$2:E78)/TIME(Settings!$B$2,0,0))</f>
        <v/>
      </c>
      <c r="I78" s="22"/>
    </row>
    <row r="79" spans="1:9">
      <c r="A79" s="16" t="str">
        <f t="shared" si="4"/>
        <v/>
      </c>
      <c r="B79" s="17"/>
      <c r="C79" s="18"/>
      <c r="D79" s="18"/>
      <c r="E79" s="19" t="str">
        <f t="shared" si="3"/>
        <v/>
      </c>
      <c r="F79" s="20"/>
      <c r="G79" s="21" t="str">
        <f>IF(E79="","",E79/TIME(Settings!$B$2,0,0))</f>
        <v/>
      </c>
      <c r="H79" s="21" t="str">
        <f>IF(B79="","",SUM($E$2:E79)/TIME(Settings!$B$2,0,0))</f>
        <v/>
      </c>
      <c r="I79" s="22"/>
    </row>
    <row r="80" spans="1:9">
      <c r="A80" s="16" t="str">
        <f t="shared" si="4"/>
        <v/>
      </c>
      <c r="B80" s="17"/>
      <c r="C80" s="18"/>
      <c r="D80" s="18"/>
      <c r="E80" s="19" t="str">
        <f t="shared" si="3"/>
        <v/>
      </c>
      <c r="F80" s="20"/>
      <c r="G80" s="21" t="str">
        <f>IF(E80="","",E80/TIME(Settings!$B$2,0,0))</f>
        <v/>
      </c>
      <c r="H80" s="21" t="str">
        <f>IF(B80="","",SUM($E$2:E80)/TIME(Settings!$B$2,0,0))</f>
        <v/>
      </c>
      <c r="I80" s="22"/>
    </row>
    <row r="81" spans="1:9">
      <c r="A81" s="16" t="str">
        <f t="shared" si="4"/>
        <v/>
      </c>
      <c r="B81" s="17"/>
      <c r="C81" s="18"/>
      <c r="D81" s="18"/>
      <c r="E81" s="19" t="str">
        <f t="shared" si="3"/>
        <v/>
      </c>
      <c r="F81" s="20"/>
      <c r="G81" s="21" t="str">
        <f>IF(E81="","",E81/TIME(Settings!$B$2,0,0))</f>
        <v/>
      </c>
      <c r="H81" s="21" t="str">
        <f>IF(B81="","",SUM($E$2:E81)/TIME(Settings!$B$2,0,0))</f>
        <v/>
      </c>
      <c r="I81" s="22"/>
    </row>
    <row r="82" spans="1:9">
      <c r="A82" s="16" t="str">
        <f t="shared" si="4"/>
        <v/>
      </c>
      <c r="B82" s="17"/>
      <c r="C82" s="18"/>
      <c r="D82" s="18"/>
      <c r="E82" s="19" t="str">
        <f t="shared" si="3"/>
        <v/>
      </c>
      <c r="F82" s="20"/>
      <c r="G82" s="21" t="str">
        <f>IF(E82="","",E82/TIME(Settings!$B$2,0,0))</f>
        <v/>
      </c>
      <c r="H82" s="21" t="str">
        <f>IF(B82="","",SUM($E$2:E82)/TIME(Settings!$B$2,0,0))</f>
        <v/>
      </c>
      <c r="I82" s="22"/>
    </row>
    <row r="83" spans="1:9">
      <c r="A83" s="16" t="str">
        <f t="shared" si="4"/>
        <v/>
      </c>
      <c r="B83" s="17"/>
      <c r="C83" s="18"/>
      <c r="D83" s="18"/>
      <c r="E83" s="19" t="str">
        <f t="shared" si="3"/>
        <v/>
      </c>
      <c r="F83" s="20"/>
      <c r="G83" s="21" t="str">
        <f>IF(E83="","",E83/TIME(Settings!$B$2,0,0))</f>
        <v/>
      </c>
      <c r="H83" s="21" t="str">
        <f>IF(B83="","",SUM($E$2:E83)/TIME(Settings!$B$2,0,0))</f>
        <v/>
      </c>
      <c r="I83" s="22"/>
    </row>
    <row r="84" spans="1:9">
      <c r="A84" s="16" t="str">
        <f t="shared" si="4"/>
        <v/>
      </c>
      <c r="B84" s="17"/>
      <c r="C84" s="18"/>
      <c r="D84" s="18"/>
      <c r="E84" s="19" t="str">
        <f t="shared" si="3"/>
        <v/>
      </c>
      <c r="F84" s="20"/>
      <c r="G84" s="21" t="str">
        <f>IF(E84="","",E84/TIME(Settings!$B$2,0,0))</f>
        <v/>
      </c>
      <c r="H84" s="21" t="str">
        <f>IF(B84="","",SUM($E$2:E84)/TIME(Settings!$B$2,0,0))</f>
        <v/>
      </c>
      <c r="I84" s="22"/>
    </row>
    <row r="85" spans="1:9">
      <c r="A85" s="16" t="str">
        <f t="shared" si="4"/>
        <v/>
      </c>
      <c r="B85" s="17"/>
      <c r="C85" s="18"/>
      <c r="D85" s="18"/>
      <c r="E85" s="19" t="str">
        <f t="shared" si="3"/>
        <v/>
      </c>
      <c r="F85" s="20"/>
      <c r="G85" s="21" t="str">
        <f>IF(E85="","",E85/TIME(Settings!$B$2,0,0))</f>
        <v/>
      </c>
      <c r="H85" s="21" t="str">
        <f>IF(B85="","",SUM($E$2:E85)/TIME(Settings!$B$2,0,0))</f>
        <v/>
      </c>
      <c r="I85" s="22"/>
    </row>
    <row r="86" spans="1:9">
      <c r="A86" s="16" t="str">
        <f t="shared" si="4"/>
        <v/>
      </c>
      <c r="B86" s="17"/>
      <c r="C86" s="18"/>
      <c r="D86" s="18"/>
      <c r="E86" s="19" t="str">
        <f t="shared" si="3"/>
        <v/>
      </c>
      <c r="F86" s="20"/>
      <c r="G86" s="21" t="str">
        <f>IF(E86="","",E86/TIME(Settings!$B$2,0,0))</f>
        <v/>
      </c>
      <c r="H86" s="21" t="str">
        <f>IF(B86="","",SUM($E$2:E86)/TIME(Settings!$B$2,0,0))</f>
        <v/>
      </c>
      <c r="I86" s="22"/>
    </row>
    <row r="87" spans="1:9">
      <c r="A87" s="16" t="str">
        <f t="shared" si="4"/>
        <v/>
      </c>
      <c r="B87" s="17"/>
      <c r="C87" s="18"/>
      <c r="D87" s="18"/>
      <c r="E87" s="19" t="str">
        <f t="shared" si="3"/>
        <v/>
      </c>
      <c r="F87" s="20"/>
      <c r="G87" s="21" t="str">
        <f>IF(E87="","",E87/TIME(Settings!$B$2,0,0))</f>
        <v/>
      </c>
      <c r="H87" s="21" t="str">
        <f>IF(B87="","",SUM($E$2:E87)/TIME(Settings!$B$2,0,0))</f>
        <v/>
      </c>
      <c r="I87" s="22"/>
    </row>
    <row r="88" spans="1:9">
      <c r="A88" s="16" t="str">
        <f t="shared" si="4"/>
        <v/>
      </c>
      <c r="B88" s="17"/>
      <c r="C88" s="18"/>
      <c r="D88" s="18"/>
      <c r="E88" s="19" t="str">
        <f t="shared" si="3"/>
        <v/>
      </c>
      <c r="F88" s="20"/>
      <c r="G88" s="21" t="str">
        <f>IF(E88="","",E88/TIME(Settings!$B$2,0,0))</f>
        <v/>
      </c>
      <c r="H88" s="21" t="str">
        <f>IF(B88="","",SUM($E$2:E88)/TIME(Settings!$B$2,0,0))</f>
        <v/>
      </c>
      <c r="I88" s="22"/>
    </row>
    <row r="89" spans="1:9">
      <c r="A89" s="16" t="str">
        <f t="shared" si="4"/>
        <v/>
      </c>
      <c r="B89" s="17"/>
      <c r="C89" s="18"/>
      <c r="D89" s="18"/>
      <c r="E89" s="19" t="str">
        <f t="shared" si="3"/>
        <v/>
      </c>
      <c r="F89" s="20"/>
      <c r="G89" s="21" t="str">
        <f>IF(E89="","",E89/TIME(Settings!$B$2,0,0))</f>
        <v/>
      </c>
      <c r="H89" s="21" t="str">
        <f>IF(B89="","",SUM($E$2:E89)/TIME(Settings!$B$2,0,0))</f>
        <v/>
      </c>
      <c r="I89" s="22"/>
    </row>
    <row r="90" spans="1:9">
      <c r="A90" s="16" t="str">
        <f t="shared" si="4"/>
        <v/>
      </c>
      <c r="B90" s="17"/>
      <c r="C90" s="18"/>
      <c r="D90" s="18"/>
      <c r="E90" s="19" t="str">
        <f t="shared" si="3"/>
        <v/>
      </c>
      <c r="F90" s="20"/>
      <c r="G90" s="21" t="str">
        <f>IF(E90="","",E90/TIME(Settings!$B$2,0,0))</f>
        <v/>
      </c>
      <c r="H90" s="21" t="str">
        <f>IF(B90="","",SUM($E$2:E90)/TIME(Settings!$B$2,0,0))</f>
        <v/>
      </c>
      <c r="I90" s="22"/>
    </row>
    <row r="91" spans="1:9">
      <c r="A91" s="16" t="str">
        <f t="shared" si="4"/>
        <v/>
      </c>
      <c r="B91" s="17"/>
      <c r="C91" s="18"/>
      <c r="D91" s="18"/>
      <c r="E91" s="19" t="str">
        <f t="shared" si="3"/>
        <v/>
      </c>
      <c r="F91" s="20"/>
      <c r="G91" s="21" t="str">
        <f>IF(E91="","",E91/TIME(Settings!$B$2,0,0))</f>
        <v/>
      </c>
      <c r="H91" s="21" t="str">
        <f>IF(B91="","",SUM($E$2:E91)/TIME(Settings!$B$2,0,0))</f>
        <v/>
      </c>
      <c r="I91" s="22"/>
    </row>
    <row r="92" spans="1:9">
      <c r="A92" s="16" t="str">
        <f t="shared" si="4"/>
        <v/>
      </c>
      <c r="B92" s="17"/>
      <c r="C92" s="18"/>
      <c r="D92" s="18"/>
      <c r="E92" s="19" t="str">
        <f t="shared" si="3"/>
        <v/>
      </c>
      <c r="F92" s="20"/>
      <c r="G92" s="21" t="str">
        <f>IF(E92="","",E92/TIME(Settings!$B$2,0,0))</f>
        <v/>
      </c>
      <c r="H92" s="21" t="str">
        <f>IF(B92="","",SUM($E$2:E92)/TIME(Settings!$B$2,0,0))</f>
        <v/>
      </c>
      <c r="I92" s="22"/>
    </row>
    <row r="93" spans="1:9">
      <c r="A93" s="16" t="str">
        <f t="shared" si="4"/>
        <v/>
      </c>
      <c r="B93" s="17"/>
      <c r="C93" s="18"/>
      <c r="D93" s="18"/>
      <c r="E93" s="19" t="str">
        <f t="shared" si="3"/>
        <v/>
      </c>
      <c r="F93" s="20"/>
      <c r="G93" s="21" t="str">
        <f>IF(E93="","",E93/TIME(Settings!$B$2,0,0))</f>
        <v/>
      </c>
      <c r="H93" s="21" t="str">
        <f>IF(B93="","",SUM($E$2:E93)/TIME(Settings!$B$2,0,0))</f>
        <v/>
      </c>
      <c r="I93" s="22"/>
    </row>
    <row r="94" spans="1:9">
      <c r="A94" s="16" t="str">
        <f t="shared" si="4"/>
        <v/>
      </c>
      <c r="B94" s="17"/>
      <c r="C94" s="18"/>
      <c r="D94" s="18"/>
      <c r="E94" s="19" t="str">
        <f t="shared" si="3"/>
        <v/>
      </c>
      <c r="F94" s="20"/>
      <c r="G94" s="21" t="str">
        <f>IF(E94="","",E94/TIME(Settings!$B$2,0,0))</f>
        <v/>
      </c>
      <c r="H94" s="21" t="str">
        <f>IF(B94="","",SUM($E$2:E94)/TIME(Settings!$B$2,0,0))</f>
        <v/>
      </c>
      <c r="I94" s="22"/>
    </row>
    <row r="95" spans="1:9">
      <c r="A95" s="16" t="str">
        <f t="shared" si="4"/>
        <v/>
      </c>
      <c r="B95" s="17"/>
      <c r="C95" s="18"/>
      <c r="D95" s="18"/>
      <c r="E95" s="19" t="str">
        <f t="shared" si="3"/>
        <v/>
      </c>
      <c r="F95" s="20"/>
      <c r="G95" s="21" t="str">
        <f>IF(E95="","",E95/TIME(Settings!$B$2,0,0))</f>
        <v/>
      </c>
      <c r="H95" s="21" t="str">
        <f>IF(B95="","",SUM($E$2:E95)/TIME(Settings!$B$2,0,0))</f>
        <v/>
      </c>
      <c r="I95" s="22"/>
    </row>
    <row r="96" spans="1:9">
      <c r="A96" s="16" t="str">
        <f t="shared" si="4"/>
        <v/>
      </c>
      <c r="B96" s="17"/>
      <c r="C96" s="18"/>
      <c r="D96" s="18"/>
      <c r="E96" s="19" t="str">
        <f t="shared" si="3"/>
        <v/>
      </c>
      <c r="F96" s="20"/>
      <c r="G96" s="21" t="str">
        <f>IF(E96="","",E96/TIME(Settings!$B$2,0,0))</f>
        <v/>
      </c>
      <c r="H96" s="21" t="str">
        <f>IF(B96="","",SUM($E$2:E96)/TIME(Settings!$B$2,0,0))</f>
        <v/>
      </c>
      <c r="I96" s="22"/>
    </row>
    <row r="97" spans="1:9">
      <c r="A97" s="16" t="str">
        <f t="shared" si="4"/>
        <v/>
      </c>
      <c r="B97" s="17"/>
      <c r="C97" s="18"/>
      <c r="D97" s="18"/>
      <c r="E97" s="19" t="str">
        <f t="shared" si="3"/>
        <v/>
      </c>
      <c r="F97" s="20"/>
      <c r="G97" s="21" t="str">
        <f>IF(E97="","",E97/TIME(Settings!$B$2,0,0))</f>
        <v/>
      </c>
      <c r="H97" s="21" t="str">
        <f>IF(B97="","",SUM($E$2:E97)/TIME(Settings!$B$2,0,0))</f>
        <v/>
      </c>
      <c r="I97" s="22"/>
    </row>
    <row r="98" spans="1:9">
      <c r="A98" s="16" t="str">
        <f t="shared" si="4"/>
        <v/>
      </c>
      <c r="B98" s="17"/>
      <c r="C98" s="18"/>
      <c r="D98" s="18"/>
      <c r="E98" s="19" t="str">
        <f t="shared" si="3"/>
        <v/>
      </c>
      <c r="F98" s="20"/>
      <c r="G98" s="21" t="str">
        <f>IF(E98="","",E98/TIME(Settings!$B$2,0,0))</f>
        <v/>
      </c>
      <c r="H98" s="21" t="str">
        <f>IF(B98="","",SUM($E$2:E98)/TIME(Settings!$B$2,0,0))</f>
        <v/>
      </c>
      <c r="I98" s="22"/>
    </row>
    <row r="99" spans="1:9">
      <c r="A99" s="16" t="str">
        <f t="shared" si="4"/>
        <v/>
      </c>
      <c r="B99" s="17"/>
      <c r="C99" s="18"/>
      <c r="D99" s="18"/>
      <c r="E99" s="19" t="str">
        <f t="shared" si="3"/>
        <v/>
      </c>
      <c r="F99" s="20"/>
      <c r="G99" s="21" t="str">
        <f>IF(E99="","",E99/TIME(Settings!$B$2,0,0))</f>
        <v/>
      </c>
      <c r="H99" s="21" t="str">
        <f>IF(B99="","",SUM($E$2:E99)/TIME(Settings!$B$2,0,0))</f>
        <v/>
      </c>
      <c r="I99" s="22"/>
    </row>
    <row r="100" spans="1:9">
      <c r="A100" s="16" t="str">
        <f t="shared" si="4"/>
        <v/>
      </c>
      <c r="B100" s="17"/>
      <c r="C100" s="18"/>
      <c r="D100" s="18"/>
      <c r="E100" s="19" t="str">
        <f t="shared" si="3"/>
        <v/>
      </c>
      <c r="F100" s="20"/>
      <c r="G100" s="21" t="str">
        <f>IF(E100="","",E100/TIME(Settings!$B$2,0,0))</f>
        <v/>
      </c>
      <c r="H100" s="21" t="str">
        <f>IF(B100="","",SUM($E$2:E100)/TIME(Settings!$B$2,0,0))</f>
        <v/>
      </c>
      <c r="I100" s="22"/>
    </row>
    <row r="101" spans="1:9">
      <c r="A101" s="16" t="str">
        <f t="shared" si="4"/>
        <v/>
      </c>
      <c r="B101" s="17"/>
      <c r="C101" s="18"/>
      <c r="D101" s="18"/>
      <c r="E101" s="19" t="str">
        <f t="shared" si="3"/>
        <v/>
      </c>
      <c r="F101" s="20"/>
      <c r="G101" s="21" t="str">
        <f>IF(E101="","",E101/TIME(Settings!$B$2,0,0))</f>
        <v/>
      </c>
      <c r="H101" s="21" t="str">
        <f>IF(B101="","",SUM($E$2:E101)/TIME(Settings!$B$2,0,0))</f>
        <v/>
      </c>
      <c r="I101" s="22"/>
    </row>
  </sheetData>
  <conditionalFormatting sqref="F2:F101">
    <cfRule type="cellIs" dxfId="9" priority="5" operator="equal">
      <formula>5</formula>
    </cfRule>
    <cfRule type="cellIs" dxfId="10" priority="4" operator="equal">
      <formula>4</formula>
    </cfRule>
    <cfRule type="cellIs" dxfId="11" priority="3" operator="equal">
      <formula>3</formula>
    </cfRule>
    <cfRule type="cellIs" dxfId="12" priority="2" operator="equal">
      <formula>2</formula>
    </cfRule>
    <cfRule type="cellIs" dxfId="13" priority="1" operator="equal">
      <formula>1</formula>
    </cfRule>
  </conditionalFormatting>
  <conditionalFormatting sqref="H2:H101">
    <cfRule type="dataBar" priority="1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{d43b756e-fd8a-4841-a9fc-0bc135fb52ae}</x14:id>
        </ext>
      </extLst>
    </cfRule>
  </conditionalFormatting>
  <dataValidations count="1">
    <dataValidation type="list" sqref="F2:F101">
      <formula1>"1,2,3,4,5"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3b756e-fd8a-4841-a9fc-0bc135fb52ae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H2:H101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opLeftCell="A7" workbookViewId="0">
      <selection activeCell="J33" sqref="J33"/>
    </sheetView>
  </sheetViews>
  <sheetFormatPr defaultColWidth="9" defaultRowHeight="13.8"/>
  <cols>
    <col min="1" max="1" width="20" customWidth="1"/>
    <col min="2" max="2" width="18" customWidth="1"/>
    <col min="3" max="3" width="3" customWidth="1"/>
    <col min="4" max="8" width="16" customWidth="1"/>
    <col min="10" max="11" width="14" customWidth="1"/>
  </cols>
  <sheetData>
    <row r="1" ht="30" customHeight="1" spans="1:11">
      <c r="A1" s="3" t="s">
        <v>24</v>
      </c>
    </row>
    <row r="2" spans="1:11">
      <c r="J2" s="4" t="s">
        <v>25</v>
      </c>
      <c r="K2" s="4" t="s">
        <v>26</v>
      </c>
    </row>
    <row r="3" spans="1:11">
      <c r="A3" s="5" t="s">
        <v>27</v>
      </c>
      <c r="B3" s="6">
        <f>TIME(Settings!B2,0,0)</f>
        <v>0.5</v>
      </c>
      <c r="J3" s="4" t="s">
        <v>28</v>
      </c>
      <c r="K3" s="7">
        <f>$B$4*24</f>
        <v>12</v>
      </c>
    </row>
    <row r="4" spans="1:11">
      <c r="A4" s="5" t="s">
        <v>29</v>
      </c>
      <c r="B4" s="6">
        <f>SUM('Daily Log'!E2:E101)</f>
        <v>0.5</v>
      </c>
      <c r="J4" s="4" t="s">
        <v>30</v>
      </c>
      <c r="K4" s="7">
        <f>MAX(Settings!$B$2-K3,0)</f>
        <v>0</v>
      </c>
    </row>
    <row r="5" spans="1:11">
      <c r="A5" s="5" t="s">
        <v>31</v>
      </c>
      <c r="B5" s="6">
        <f>MAX(TIME(Settings!B2,0,0)-B4,0)</f>
        <v>0</v>
      </c>
    </row>
    <row r="6" spans="1:11">
      <c r="A6" s="5" t="s">
        <v>32</v>
      </c>
      <c r="B6" s="8">
        <f>MIN(B4/TIME(Settings!B2,0,0),1)</f>
        <v>1</v>
      </c>
    </row>
    <row r="7" spans="1:11">
      <c r="A7" s="5" t="s">
        <v>33</v>
      </c>
      <c r="B7" s="9">
        <f>IFERROR(AVERAGE('Daily Log'!F2:F101),"")</f>
        <v>4.4</v>
      </c>
      <c r="J7" s="10" t="s">
        <v>1</v>
      </c>
      <c r="K7" s="10" t="s">
        <v>7</v>
      </c>
    </row>
    <row r="8" spans="1:11">
      <c r="A8" s="5" t="s">
        <v>34</v>
      </c>
      <c r="B8" s="11">
        <f>COUNT('Daily Log'!B2:B101)</f>
        <v>15</v>
      </c>
      <c r="J8" s="12">
        <f>'Daily Log'!B2</f>
        <v>46197</v>
      </c>
      <c r="K8" s="10">
        <f>'Daily Log'!H2</f>
        <v>0.0080787037037037</v>
      </c>
    </row>
    <row r="9" spans="1:11">
      <c r="J9" s="12">
        <f>'Daily Log'!B3</f>
        <v>46198</v>
      </c>
      <c r="K9" s="10">
        <f>'Daily Log'!H3</f>
        <v>0.0454166666666666</v>
      </c>
    </row>
    <row r="10" ht="18" spans="1:11">
      <c r="A10" t="s">
        <v>35</v>
      </c>
      <c r="B10" s="13" t="str">
        <f>REPT("█",ROUND(B6*30,0))&amp;REPT("░",30-ROUND(B6*30,0))</f>
        <v>██████████████████████████████</v>
      </c>
      <c r="J10" s="12">
        <f>'Daily Log'!B4</f>
        <v>46199</v>
      </c>
      <c r="K10" s="10">
        <f>'Daily Log'!H4</f>
        <v>0.097199074074074</v>
      </c>
    </row>
    <row r="11" spans="1:11">
      <c r="J11" s="12">
        <f>'Daily Log'!B5</f>
        <v>46200</v>
      </c>
      <c r="K11" s="10">
        <f>'Daily Log'!H5</f>
        <v>0.165115740740741</v>
      </c>
    </row>
    <row r="12" spans="1:11">
      <c r="J12" s="12">
        <f>'Daily Log'!B6</f>
        <v>46202</v>
      </c>
      <c r="K12" s="10">
        <f>'Daily Log'!H6</f>
        <v>0.266041666666666</v>
      </c>
    </row>
    <row r="13" spans="1:11">
      <c r="A13" s="14" t="s">
        <v>36</v>
      </c>
      <c r="J13" s="12">
        <f>'Daily Log'!B7</f>
        <v>46203</v>
      </c>
      <c r="K13" s="10">
        <f>'Daily Log'!H7</f>
        <v>0.3225</v>
      </c>
    </row>
    <row r="14" spans="1:11">
      <c r="J14" s="12">
        <f>'Daily Log'!B8</f>
        <v>46204</v>
      </c>
      <c r="K14" s="10">
        <f>'Daily Log'!H8</f>
        <v>0.375763888888888</v>
      </c>
    </row>
    <row r="15" spans="1:11">
      <c r="J15" s="12">
        <f>'Daily Log'!B9</f>
        <v>46209</v>
      </c>
      <c r="K15" s="10">
        <f>'Daily Log'!H9</f>
        <v>0.498263888888888</v>
      </c>
    </row>
    <row r="16" spans="1:11">
      <c r="J16" s="12">
        <f>'Daily Log'!B10</f>
        <v>46210</v>
      </c>
      <c r="K16" s="10">
        <f>'Daily Log'!H10</f>
        <v>0.545185185185186</v>
      </c>
    </row>
    <row r="17" spans="10:11">
      <c r="J17" s="12">
        <f>'Daily Log'!B11</f>
        <v>46211</v>
      </c>
      <c r="K17" s="10">
        <f>'Daily Log'!H11</f>
        <v>0.58337962962963</v>
      </c>
    </row>
    <row r="18" spans="10:11">
      <c r="J18" s="12">
        <f>'Daily Log'!B12</f>
        <v>46212</v>
      </c>
      <c r="K18" s="10">
        <f>'Daily Log'!H12</f>
        <v>0.757013888888888</v>
      </c>
    </row>
    <row r="19" spans="10:11">
      <c r="J19" s="12">
        <f>'Daily Log'!B13</f>
        <v>46213</v>
      </c>
      <c r="K19" s="10">
        <f>'Daily Log'!H13</f>
        <v>0.78099537037037</v>
      </c>
    </row>
    <row r="20" spans="10:11">
      <c r="J20" s="12">
        <f>'Daily Log'!B14</f>
        <v>46216</v>
      </c>
      <c r="K20" s="10">
        <f>'Daily Log'!H14</f>
        <v>0.823773148148148</v>
      </c>
    </row>
    <row r="21" spans="10:11">
      <c r="J21" s="12">
        <f>'Daily Log'!B15</f>
        <v>46219</v>
      </c>
      <c r="K21" s="10">
        <f>'Daily Log'!H15</f>
        <v>0.90087962962963</v>
      </c>
    </row>
    <row r="22" spans="10:11">
      <c r="J22" s="12">
        <f>'Daily Log'!B16</f>
        <v>46220</v>
      </c>
      <c r="K22" s="10">
        <f>'Daily Log'!H16</f>
        <v>1</v>
      </c>
    </row>
  </sheetData>
  <mergeCells count="3">
    <mergeCell ref="A1:H1"/>
    <mergeCell ref="B10:H10"/>
    <mergeCell ref="A13:H1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"/>
    </sheetView>
  </sheetViews>
  <sheetFormatPr defaultColWidth="9" defaultRowHeight="13.8" outlineLevelRow="6" outlineLevelCol="1"/>
  <cols>
    <col min="1" max="2" width="24" customWidth="1"/>
  </cols>
  <sheetData>
    <row r="1" spans="1:2">
      <c r="A1" s="1" t="s">
        <v>37</v>
      </c>
      <c r="B1" s="1" t="s">
        <v>38</v>
      </c>
    </row>
    <row r="2" spans="1:2">
      <c r="A2" t="s">
        <v>39</v>
      </c>
      <c r="B2" s="2">
        <v>12</v>
      </c>
    </row>
    <row r="3" spans="1:2">
      <c r="A3" t="s">
        <v>40</v>
      </c>
      <c r="B3" s="2" t="s">
        <v>41</v>
      </c>
    </row>
    <row r="4" spans="1:2">
      <c r="A4" t="s">
        <v>42</v>
      </c>
      <c r="B4" s="2">
        <v>1</v>
      </c>
    </row>
    <row r="5" spans="1:2">
      <c r="A5" t="s">
        <v>43</v>
      </c>
      <c r="B5">
        <v>5</v>
      </c>
    </row>
    <row r="6" spans="1:2">
      <c r="A6" t="s">
        <v>44</v>
      </c>
      <c r="B6" t="s">
        <v>41</v>
      </c>
    </row>
    <row r="7" spans="1:2">
      <c r="A7" t="s">
        <v>8</v>
      </c>
      <c r="B7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Log</vt:lpstr>
      <vt:lpstr>Dashboard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2026-06-25T08:29:00Z</dcterms:created>
  <dcterms:modified xsi:type="dcterms:W3CDTF">2026-07-17T09:29:56Z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160B7CD8DF57440AA387E56DFC9382BC_12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