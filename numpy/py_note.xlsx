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20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<sst xmlns="http://schemas.openxmlformats.org/spreadsheetml/2006/main" count="20" uniqueCount="18">
  <si>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STT</t>
  </si>
  <si>
    <t>Ngày</t>
  </si>
  <si>
    <t>T.gian bắt đầu</t>
  </si>
  <si>
    <t>T.gian kết thúc</t>
  </si>
  <si>
    <t>Tổng thời gian</t>
  </si>
  <si>
    <t>Độ hiểu</t>
  </si>
  <si>
    <t>% buổi học</t>
  </si>
  <si>
    <t>Tiến độ</t>
  </si>
  <si>
    <t>Ghi chú</t>
  </si>
  <si>
    <t>Tên</t>
  </si>
  <si>
    <t>Giá trị</t>
  </si>
  <si>
    <t>Mục tiêu giờ</t>
  </si>
  <si>
    <t>Trạng thái mẫu</t>
  </si>
  <si>
    <t/>
  </si>
  <si>
    <t>Độ hiểu thấp nhất</t>
  </si>
  <si>
    <t>Độ hiểu cao nhất</t>
  </si>
  <si>
    <t>Màu biểu đồ</t>
  </si>
  <si>
    <t>Chỉ nhập dữ liệu ở Daily Log: Ngày, T.gian bắt đầu, T.gian kết thúc, Độ hiểu, Ghi chú.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</si>
</sst>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"/>
    <numFmt numFmtId="179" formatCode="hh:mm:ss"/>
    <numFmt numFmtId="180" formatCode=";;;"/>
  </numFmts>
  <fonts count="23">
    <font>
      <sz val="11"/>
      <color theme="1"/>
      <name val="Calibri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0" fontId="2" fillId="3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vertical="center"/>
    </xf>
    <xf numFmtId="179" fontId="3" fillId="0" borderId="0" xfId="0" applyNumberFormat="1" applyFont="1" applyFill="1" applyBorder="1" applyAlignment="1">
      <alignment vertical="center"/>
    </xf>
    <xf numFmtId="46" fontId="3" fillId="0" borderId="0" xfId="0" applyNumberFormat="1" applyFont="1" applyFill="1" applyBorder="1" applyAlignment="1">
      <alignment vertical="center"/>
    </xf>
    <xf numFmtId="180" fontId="3" fillId="0" borderId="0" xfId="0" applyNumberFormat="1" applyFont="1" applyFill="1" applyBorder="1" applyAlignment="1">
      <alignment vertical="center"/>
    </xf>
    <xf numFmtId="1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 wrapText="1"/>
    </xf>
    <xf numFmtId="35" fontId="3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numFmt numFmtId="46" formatCode="[h]:mm:ss"/>
    </dxf>
    <dxf>
      <numFmt numFmtId="10" formatCode="0.00%"/>
    </dxf>
    <dxf>
      <numFmt numFmtId="10" formatCode="0.00%"/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c\Desktop\Side%20Quest\py_begin\youtube_learning_tracker_12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Log"/>
      <sheetName val="Dashboard"/>
      <sheetName val="Settings"/>
    </sheetNames>
    <sheetDataSet>
      <sheetData sheetId="0"/>
      <sheetData sheetId="1"/>
      <sheetData sheetId="2">
        <row r="2">
          <cell r="B2">
            <v>12</v>
          </cell>
        </row>
      </sheetData>
    </sheetDataSet>
  </externalBook>
</externalLink>
</file>

<file path=xl/tables/table1.xml><?xml version="1.0" encoding="utf-8"?>
<table xmlns="http://schemas.openxmlformats.org/spreadsheetml/2006/main" id="1" name="DailyLogTable" displayName="DailyLogTable" ref="A1:I101">
  <tableColumns count="9">
    <tableColumn id="1" name="STT"/>
    <tableColumn id="2" name="Ngày"/>
    <tableColumn id="3" name="T.gian bắt đầu"/>
    <tableColumn id="4" name="T.gian kết thúc"/>
    <tableColumn id="5" name="Tổng thời gian" dataDxfId="0">
      <calculatedColumnFormula>IF(COUNTA(C2:D2)&lt;2,"",MOD(D2-C2,1))</calculatedColumnFormula>
    </tableColumn>
    <tableColumn id="6" name="Độ hiểu"/>
    <tableColumn id="7" name="% buổi học" dataDxfId="1">
      <calculatedColumnFormula>IF(E2="","",E2/TIME([1]Settings!$B$2,0,0))</calculatedColumnFormula>
    </tableColumn>
    <tableColumn id="8" name="Tiến độ" dataDxfId="2">
      <calculatedColumnFormula>IF(B2="","",SUM($E$2:E2)/TIME([1]Settings!$B$2,0,0))</calculatedColumnFormula>
    </tableColumn>
    <tableColumn id="9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I2" sqref="I2"/>
    </sheetView>
  </sheetViews>
  <sheetFormatPr defaultColWidth="8.88888888888889" defaultRowHeight="14.4"/>
  <cols>
    <col min="2" max="2" width="10.4444444444444" customWidth="1"/>
    <col min="3" max="3" width="11.6666666666667" customWidth="1"/>
    <col min="4" max="4" width="12.6666666666667" customWidth="1"/>
    <col min="5" max="5" width="14.4444444444444" customWidth="1"/>
    <col min="6" max="6" width="15.4444444444444" customWidth="1"/>
    <col min="7" max="7" width="15.2222222222222" customWidth="1"/>
    <col min="8" max="8" width="12.5555555555556" customWidth="1"/>
    <col min="9" max="9" width="96.8888888888889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/>
    </row>
    <row r="2" spans="1:10">
      <c r="A2" s="5">
        <v>1</v>
      </c>
      <c r="B2" s="6"/>
      <c r="C2" s="7">
        <v>0</v>
      </c>
      <c r="D2" s="7">
        <v>0.00403935185185185</v>
      </c>
      <c r="E2" s="8">
        <f t="shared" ref="E2:E33" si="0">IF(COUNTA(C2:D2)&lt;2,"",MOD(D2-C2,1))</f>
        <v>0.00403935185185185</v>
      </c>
      <c r="F2" s="9">
        <v>5</v>
      </c>
      <c r="G2" s="10">
        <f>IF(E2="","",E2/TIME([1]Settings!$B$2,0,0))</f>
        <v>0.0080787037037037</v>
      </c>
      <c r="H2" s="10" t="str">
        <f>IF(B2="","",SUM($E$2:E2)/TIME([1]Settings!$B$2,0,0))</f>
        <v/>
      </c>
      <c r="I2" s="11"/>
      <c r="J2" s="1"/>
    </row>
    <row r="3" spans="1:10">
      <c r="A3" s="5"/>
      <c r="B3" s="6"/>
      <c r="C3" s="7"/>
      <c r="D3" s="7"/>
      <c r="E3" s="8"/>
      <c r="F3" s="9">
        <v>5</v>
      </c>
      <c r="G3" s="10"/>
      <c r="H3" s="10"/>
      <c r="I3" s="12"/>
      <c r="J3" s="1"/>
    </row>
    <row r="4" spans="1:10">
      <c r="A4" s="5"/>
      <c r="B4" s="6"/>
      <c r="C4" s="7"/>
      <c r="D4" s="7"/>
      <c r="E4" s="8" t="str">
        <f t="shared" si="0"/>
        <v/>
      </c>
      <c r="F4" s="9">
        <v>5</v>
      </c>
      <c r="G4" s="10" t="str">
        <f>IF(E4="","",E4/TIME([1]Settings!$B$2,0,0))</f>
        <v/>
      </c>
      <c r="H4" s="10" t="str">
        <f>IF(B4="","",SUM($E$2:E4)/TIME([1]Settings!$B$2,0,0))</f>
        <v/>
      </c>
      <c r="I4" s="11"/>
      <c r="J4" s="1"/>
    </row>
    <row r="5" spans="1:10">
      <c r="A5" s="5"/>
      <c r="B5" s="6"/>
      <c r="C5" s="7"/>
      <c r="D5" s="13"/>
      <c r="E5" s="8" t="str">
        <f t="shared" si="0"/>
        <v/>
      </c>
      <c r="F5" s="9">
        <v>4</v>
      </c>
      <c r="G5" s="10" t="str">
        <f>IF(E5="","",E5/TIME([1]Settings!$B$2,0,0))</f>
        <v/>
      </c>
      <c r="H5" s="10" t="str">
        <f>IF(B5="","",SUM($E$2:E5)/TIME([1]Settings!$B$2,0,0))</f>
        <v/>
      </c>
      <c r="I5" s="12"/>
      <c r="J5" s="1"/>
    </row>
    <row r="6" spans="1:10">
      <c r="A6" s="5"/>
      <c r="B6" s="6"/>
      <c r="C6" s="7"/>
      <c r="D6" s="7"/>
      <c r="E6" s="8"/>
      <c r="F6" s="9">
        <v>4</v>
      </c>
      <c r="G6" s="10"/>
      <c r="H6" s="10" t="str">
        <f>IF(B6="","",SUM($E$2:E6)/TIME([1]Settings!$B$2,0,0))</f>
        <v/>
      </c>
      <c r="I6" s="12"/>
      <c r="J6" s="1"/>
    </row>
    <row r="7" spans="1:10">
      <c r="A7" s="5"/>
      <c r="B7" s="6"/>
      <c r="C7" s="7"/>
      <c r="D7" s="7"/>
      <c r="E7" s="8"/>
      <c r="F7" s="9">
        <v>4</v>
      </c>
      <c r="G7" s="10"/>
      <c r="H7" s="10" t="str">
        <f>IF(B7="","",SUM($E$2:E7)/TIME([1]Settings!$B$2,0,0))</f>
        <v/>
      </c>
      <c r="I7" s="11"/>
      <c r="J7" s="1"/>
    </row>
    <row r="8" spans="1:10">
      <c r="A8" s="5"/>
      <c r="B8" s="6"/>
      <c r="C8" s="7"/>
      <c r="D8" s="7"/>
      <c r="E8" s="8"/>
      <c r="F8" s="9">
        <v>4</v>
      </c>
      <c r="G8" s="10"/>
      <c r="H8" s="10" t="str">
        <f>IF(B8="","",SUM($E$2:E8)/TIME([1]Settings!$B$2,0,0))</f>
        <v/>
      </c>
      <c r="I8" s="12"/>
      <c r="J8" s="1"/>
    </row>
    <row r="9" spans="1:10">
      <c r="A9" s="5"/>
      <c r="B9" s="6"/>
      <c r="C9" s="7"/>
      <c r="D9" s="7"/>
      <c r="E9" s="8"/>
      <c r="F9" s="9">
        <v>4</v>
      </c>
      <c r="G9" s="10"/>
      <c r="H9" s="10" t="str">
        <f>IF(B9="","",SUM($E$2:E9)/TIME([1]Settings!$B$2,0,0))</f>
        <v/>
      </c>
      <c r="I9" s="12"/>
      <c r="J9" s="1"/>
    </row>
    <row r="10" spans="1:10">
      <c r="A10" s="5"/>
      <c r="B10" s="6"/>
      <c r="C10" s="7"/>
      <c r="D10" s="7"/>
      <c r="E10" s="8"/>
      <c r="F10" s="9">
        <v>5</v>
      </c>
      <c r="G10" s="10"/>
      <c r="H10" s="10" t="str">
        <f>IF(B10="","",SUM($E$2:E10)/TIME([1]Settings!$B$2,0,0))</f>
        <v/>
      </c>
      <c r="I10" s="11"/>
      <c r="J10" s="1"/>
    </row>
    <row r="11" spans="1:10">
      <c r="A11" s="5"/>
      <c r="B11" s="6"/>
      <c r="C11" s="7"/>
      <c r="D11" s="7"/>
      <c r="E11" s="8"/>
      <c r="F11" s="9">
        <v>5</v>
      </c>
      <c r="G11" s="10"/>
      <c r="H11" s="10" t="str">
        <f>IF(B11="","",SUM($E$2:E11)/TIME([1]Settings!$B$2,0,0))</f>
        <v/>
      </c>
      <c r="I11" s="11"/>
      <c r="J11" s="1"/>
    </row>
    <row r="12" spans="1:10">
      <c r="A12" s="5"/>
      <c r="B12" s="6"/>
      <c r="C12" s="7"/>
      <c r="D12" s="7"/>
      <c r="E12" s="8"/>
      <c r="F12" s="9">
        <v>4</v>
      </c>
      <c r="G12" s="10"/>
      <c r="H12" s="10" t="str">
        <f>IF(B12="","",SUM($E$2:E12)/TIME([1]Settings!$B$2,0,0))</f>
        <v/>
      </c>
      <c r="I12" s="12"/>
      <c r="J12" s="1"/>
    </row>
    <row r="13" spans="1:10">
      <c r="A13" s="5"/>
      <c r="B13" s="6"/>
      <c r="C13" s="7"/>
      <c r="D13" s="7"/>
      <c r="E13" s="8"/>
      <c r="F13" s="9">
        <v>5</v>
      </c>
      <c r="G13" s="10"/>
      <c r="H13" s="10" t="str">
        <f>IF(B13="","",SUM($E$2:E13)/TIME([1]Settings!$B$2,0,0))</f>
        <v/>
      </c>
      <c r="I13" s="11"/>
      <c r="J13" s="1"/>
    </row>
    <row r="14" spans="1:10">
      <c r="A14" s="5"/>
      <c r="B14" s="6"/>
      <c r="C14" s="7"/>
      <c r="D14" s="7"/>
      <c r="E14" s="8"/>
      <c r="F14" s="9">
        <v>4</v>
      </c>
      <c r="G14" s="10"/>
      <c r="H14" s="10" t="str">
        <f>IF(B14="","",SUM($E$2:E14)/TIME([1]Settings!$B$2,0,0))</f>
        <v/>
      </c>
      <c r="I14" s="11"/>
      <c r="J14" s="1"/>
    </row>
    <row r="15" spans="1:10">
      <c r="A15" s="5"/>
      <c r="B15" s="6"/>
      <c r="C15" s="7"/>
      <c r="D15" s="7"/>
      <c r="E15" s="8"/>
      <c r="F15" s="9">
        <v>4</v>
      </c>
      <c r="G15" s="10"/>
      <c r="H15" s="10" t="str">
        <f>IF(B15="","",SUM($E$2:E15)/TIME([1]Settings!$B$2,0,0))</f>
        <v/>
      </c>
      <c r="I15" s="12"/>
      <c r="J15" s="1"/>
    </row>
    <row r="16" spans="1:10">
      <c r="A16" s="5"/>
      <c r="B16" s="6"/>
      <c r="C16" s="7"/>
      <c r="D16" s="7"/>
      <c r="E16" s="8"/>
      <c r="F16" s="9">
        <v>4</v>
      </c>
      <c r="G16" s="10"/>
      <c r="H16" s="10" t="str">
        <f>IF(B16="","",SUM($E$2:E16)/TIME([1]Settings!$B$2,0,0))</f>
        <v/>
      </c>
      <c r="I16" s="11"/>
      <c r="J16" s="1"/>
    </row>
    <row r="17" spans="1:10">
      <c r="A17" s="5" t="str">
        <f t="shared" ref="A17:A80" si="1">IF(B17="","",ROW()-1)</f>
        <v/>
      </c>
      <c r="B17" s="6"/>
      <c r="C17" s="7"/>
      <c r="D17" s="7"/>
      <c r="E17" s="8" t="str">
        <f t="shared" si="0"/>
        <v/>
      </c>
      <c r="F17" s="9"/>
      <c r="G17" s="10" t="str">
        <f>IF(E17="","",E17/TIME([1]Settings!$B$2,0,0))</f>
        <v/>
      </c>
      <c r="H17" s="10" t="str">
        <f>IF(B17="","",SUM($E$2:E17)/TIME([1]Settings!$B$2,0,0))</f>
        <v/>
      </c>
      <c r="I17" s="11"/>
      <c r="J17" s="1"/>
    </row>
    <row r="18" spans="1:10">
      <c r="A18" s="5" t="str">
        <f t="shared" si="1"/>
        <v/>
      </c>
      <c r="B18" s="6"/>
      <c r="C18" s="7"/>
      <c r="D18" s="7"/>
      <c r="E18" s="8" t="str">
        <f t="shared" si="0"/>
        <v/>
      </c>
      <c r="F18" s="9"/>
      <c r="G18" s="10" t="str">
        <f>IF(E18="","",E18/TIME([1]Settings!$B$2,0,0))</f>
        <v/>
      </c>
      <c r="H18" s="10" t="str">
        <f>IF(B18="","",SUM($E$2:E18)/TIME([1]Settings!$B$2,0,0))</f>
        <v/>
      </c>
      <c r="I18" s="11"/>
      <c r="J18" s="1"/>
    </row>
    <row r="19" spans="1:10">
      <c r="A19" s="5" t="str">
        <f t="shared" si="1"/>
        <v/>
      </c>
      <c r="B19" s="6"/>
      <c r="C19" s="7"/>
      <c r="D19" s="7"/>
      <c r="E19" s="8" t="str">
        <f t="shared" si="0"/>
        <v/>
      </c>
      <c r="F19" s="9"/>
      <c r="G19" s="10" t="str">
        <f>IF(E19="","",E19/TIME([1]Settings!$B$2,0,0))</f>
        <v/>
      </c>
      <c r="H19" s="10" t="str">
        <f>IF(B19="","",SUM($E$2:E19)/TIME([1]Settings!$B$2,0,0))</f>
        <v/>
      </c>
      <c r="I19" s="11"/>
      <c r="J19" s="1"/>
    </row>
    <row r="20" spans="1:10">
      <c r="A20" s="5" t="str">
        <f t="shared" si="1"/>
        <v/>
      </c>
      <c r="B20" s="6"/>
      <c r="C20" s="7"/>
      <c r="D20" s="7"/>
      <c r="E20" s="8" t="str">
        <f t="shared" si="0"/>
        <v/>
      </c>
      <c r="F20" s="9"/>
      <c r="G20" s="10" t="str">
        <f>IF(E20="","",E20/TIME([1]Settings!$B$2,0,0))</f>
        <v/>
      </c>
      <c r="H20" s="10" t="str">
        <f>IF(B20="","",SUM($E$2:E20)/TIME([1]Settings!$B$2,0,0))</f>
        <v/>
      </c>
      <c r="I20" s="11"/>
      <c r="J20" s="1"/>
    </row>
    <row r="21" spans="1:10">
      <c r="A21" s="5" t="str">
        <f t="shared" si="1"/>
        <v/>
      </c>
      <c r="B21" s="6"/>
      <c r="C21" s="7"/>
      <c r="D21" s="7"/>
      <c r="E21" s="8" t="str">
        <f t="shared" si="0"/>
        <v/>
      </c>
      <c r="F21" s="9"/>
      <c r="G21" s="10" t="str">
        <f>IF(E21="","",E21/TIME([1]Settings!$B$2,0,0))</f>
        <v/>
      </c>
      <c r="H21" s="10" t="str">
        <f>IF(B21="","",SUM($E$2:E21)/TIME([1]Settings!$B$2,0,0))</f>
        <v/>
      </c>
      <c r="I21" s="11"/>
      <c r="J21" s="1"/>
    </row>
    <row r="22" spans="1:10">
      <c r="A22" s="5" t="str">
        <f t="shared" si="1"/>
        <v/>
      </c>
      <c r="B22" s="6"/>
      <c r="C22" s="7"/>
      <c r="D22" s="7"/>
      <c r="E22" s="8" t="str">
        <f t="shared" si="0"/>
        <v/>
      </c>
      <c r="F22" s="9"/>
      <c r="G22" s="10" t="str">
        <f>IF(E22="","",E22/TIME([1]Settings!$B$2,0,0))</f>
        <v/>
      </c>
      <c r="H22" s="10" t="str">
        <f>IF(B22="","",SUM($E$2:E22)/TIME([1]Settings!$B$2,0,0))</f>
        <v/>
      </c>
      <c r="I22" s="11"/>
      <c r="J22" s="1"/>
    </row>
    <row r="23" spans="1:10">
      <c r="A23" s="5" t="str">
        <f t="shared" si="1"/>
        <v/>
      </c>
      <c r="B23" s="6"/>
      <c r="C23" s="7"/>
      <c r="D23" s="7"/>
      <c r="E23" s="8" t="str">
        <f t="shared" si="0"/>
        <v/>
      </c>
      <c r="F23" s="9"/>
      <c r="G23" s="10" t="str">
        <f>IF(E23="","",E23/TIME([1]Settings!$B$2,0,0))</f>
        <v/>
      </c>
      <c r="H23" s="10" t="str">
        <f>IF(B23="","",SUM($E$2:E23)/TIME([1]Settings!$B$2,0,0))</f>
        <v/>
      </c>
      <c r="I23" s="11"/>
      <c r="J23" s="1"/>
    </row>
    <row r="24" spans="1:10">
      <c r="A24" s="5" t="str">
        <f t="shared" si="1"/>
        <v/>
      </c>
      <c r="B24" s="6"/>
      <c r="C24" s="7"/>
      <c r="D24" s="7"/>
      <c r="E24" s="8" t="str">
        <f t="shared" si="0"/>
        <v/>
      </c>
      <c r="F24" s="9"/>
      <c r="G24" s="10" t="str">
        <f>IF(E24="","",E24/TIME([1]Settings!$B$2,0,0))</f>
        <v/>
      </c>
      <c r="H24" s="10" t="str">
        <f>IF(B24="","",SUM($E$2:E24)/TIME([1]Settings!$B$2,0,0))</f>
        <v/>
      </c>
      <c r="I24" s="11"/>
      <c r="J24" s="1"/>
    </row>
    <row r="25" spans="1:10">
      <c r="A25" s="5" t="str">
        <f t="shared" si="1"/>
        <v/>
      </c>
      <c r="B25" s="6"/>
      <c r="C25" s="7"/>
      <c r="D25" s="7"/>
      <c r="E25" s="8" t="str">
        <f t="shared" si="0"/>
        <v/>
      </c>
      <c r="F25" s="9"/>
      <c r="G25" s="10" t="str">
        <f>IF(E25="","",E25/TIME([1]Settings!$B$2,0,0))</f>
        <v/>
      </c>
      <c r="H25" s="10" t="str">
        <f>IF(B25="","",SUM($E$2:E25)/TIME([1]Settings!$B$2,0,0))</f>
        <v/>
      </c>
      <c r="I25" s="11"/>
      <c r="J25" s="1"/>
    </row>
    <row r="26" spans="1:10">
      <c r="A26" s="5" t="str">
        <f t="shared" si="1"/>
        <v/>
      </c>
      <c r="B26" s="6"/>
      <c r="C26" s="7"/>
      <c r="D26" s="7"/>
      <c r="E26" s="8" t="str">
        <f t="shared" si="0"/>
        <v/>
      </c>
      <c r="F26" s="9"/>
      <c r="G26" s="10" t="str">
        <f>IF(E26="","",E26/TIME([1]Settings!$B$2,0,0))</f>
        <v/>
      </c>
      <c r="H26" s="10" t="str">
        <f>IF(B26="","",SUM($E$2:E26)/TIME([1]Settings!$B$2,0,0))</f>
        <v/>
      </c>
      <c r="I26" s="11"/>
      <c r="J26" s="1"/>
    </row>
    <row r="27" spans="1:10">
      <c r="A27" s="5" t="str">
        <f t="shared" si="1"/>
        <v/>
      </c>
      <c r="B27" s="6"/>
      <c r="C27" s="7"/>
      <c r="D27" s="7"/>
      <c r="E27" s="8" t="str">
        <f t="shared" si="0"/>
        <v/>
      </c>
      <c r="F27" s="9"/>
      <c r="G27" s="10" t="str">
        <f>IF(E27="","",E27/TIME([1]Settings!$B$2,0,0))</f>
        <v/>
      </c>
      <c r="H27" s="10" t="str">
        <f>IF(B27="","",SUM($E$2:E27)/TIME([1]Settings!$B$2,0,0))</f>
        <v/>
      </c>
      <c r="I27" s="11"/>
      <c r="J27" s="1"/>
    </row>
    <row r="28" spans="1:10">
      <c r="A28" s="5" t="str">
        <f t="shared" si="1"/>
        <v/>
      </c>
      <c r="B28" s="6"/>
      <c r="C28" s="7"/>
      <c r="D28" s="7"/>
      <c r="E28" s="8" t="str">
        <f t="shared" si="0"/>
        <v/>
      </c>
      <c r="F28" s="9"/>
      <c r="G28" s="10" t="str">
        <f>IF(E28="","",E28/TIME([1]Settings!$B$2,0,0))</f>
        <v/>
      </c>
      <c r="H28" s="10" t="str">
        <f>IF(B28="","",SUM($E$2:E28)/TIME([1]Settings!$B$2,0,0))</f>
        <v/>
      </c>
      <c r="I28" s="11"/>
      <c r="J28" s="1"/>
    </row>
    <row r="29" spans="1:10">
      <c r="A29" s="5" t="str">
        <f t="shared" si="1"/>
        <v/>
      </c>
      <c r="B29" s="6"/>
      <c r="C29" s="7"/>
      <c r="D29" s="7"/>
      <c r="E29" s="8" t="str">
        <f t="shared" si="0"/>
        <v/>
      </c>
      <c r="F29" s="9"/>
      <c r="G29" s="10" t="str">
        <f>IF(E29="","",E29/TIME([1]Settings!$B$2,0,0))</f>
        <v/>
      </c>
      <c r="H29" s="10" t="str">
        <f>IF(B29="","",SUM($E$2:E29)/TIME([1]Settings!$B$2,0,0))</f>
        <v/>
      </c>
      <c r="I29" s="11"/>
      <c r="J29" s="1"/>
    </row>
    <row r="30" spans="1:10">
      <c r="A30" s="5" t="str">
        <f t="shared" si="1"/>
        <v/>
      </c>
      <c r="B30" s="6"/>
      <c r="C30" s="7"/>
      <c r="D30" s="7"/>
      <c r="E30" s="8" t="str">
        <f t="shared" si="0"/>
        <v/>
      </c>
      <c r="F30" s="9"/>
      <c r="G30" s="10" t="str">
        <f>IF(E30="","",E30/TIME([1]Settings!$B$2,0,0))</f>
        <v/>
      </c>
      <c r="H30" s="10" t="str">
        <f>IF(B30="","",SUM($E$2:E30)/TIME([1]Settings!$B$2,0,0))</f>
        <v/>
      </c>
      <c r="I30" s="11"/>
      <c r="J30" s="1"/>
    </row>
    <row r="31" spans="1:10">
      <c r="A31" s="5" t="str">
        <f t="shared" si="1"/>
        <v/>
      </c>
      <c r="B31" s="6"/>
      <c r="C31" s="7"/>
      <c r="D31" s="7"/>
      <c r="E31" s="8" t="str">
        <f t="shared" si="0"/>
        <v/>
      </c>
      <c r="F31" s="9"/>
      <c r="G31" s="10" t="str">
        <f>IF(E31="","",E31/TIME([1]Settings!$B$2,0,0))</f>
        <v/>
      </c>
      <c r="H31" s="10" t="str">
        <f>IF(B31="","",SUM($E$2:E31)/TIME([1]Settings!$B$2,0,0))</f>
        <v/>
      </c>
      <c r="I31" s="11"/>
      <c r="J31" s="1"/>
    </row>
    <row r="32" spans="1:10">
      <c r="A32" s="5" t="str">
        <f t="shared" si="1"/>
        <v/>
      </c>
      <c r="B32" s="6"/>
      <c r="C32" s="7"/>
      <c r="D32" s="7"/>
      <c r="E32" s="8" t="str">
        <f t="shared" si="0"/>
        <v/>
      </c>
      <c r="F32" s="9"/>
      <c r="G32" s="10" t="str">
        <f>IF(E32="","",E32/TIME([1]Settings!$B$2,0,0))</f>
        <v/>
      </c>
      <c r="H32" s="10" t="str">
        <f>IF(B32="","",SUM($E$2:E32)/TIME([1]Settings!$B$2,0,0))</f>
        <v/>
      </c>
      <c r="I32" s="11"/>
      <c r="J32" s="1"/>
    </row>
    <row r="33" spans="1:10">
      <c r="A33" s="5" t="str">
        <f t="shared" si="1"/>
        <v/>
      </c>
      <c r="B33" s="6"/>
      <c r="C33" s="7"/>
      <c r="D33" s="7"/>
      <c r="E33" s="8" t="str">
        <f t="shared" si="0"/>
        <v/>
      </c>
      <c r="F33" s="9"/>
      <c r="G33" s="10" t="str">
        <f>IF(E33="","",E33/TIME([1]Settings!$B$2,0,0))</f>
        <v/>
      </c>
      <c r="H33" s="10" t="str">
        <f>IF(B33="","",SUM($E$2:E33)/TIME([1]Settings!$B$2,0,0))</f>
        <v/>
      </c>
      <c r="I33" s="11"/>
      <c r="J33" s="1"/>
    </row>
    <row r="34" spans="1:10">
      <c r="A34" s="5" t="str">
        <f t="shared" si="1"/>
        <v/>
      </c>
      <c r="B34" s="6"/>
      <c r="C34" s="7"/>
      <c r="D34" s="7"/>
      <c r="E34" s="8" t="str">
        <f t="shared" ref="E34:E65" si="2">IF(COUNTA(C34:D34)&lt;2,"",MOD(D34-C34,1))</f>
        <v/>
      </c>
      <c r="F34" s="9"/>
      <c r="G34" s="10" t="str">
        <f>IF(E34="","",E34/TIME([1]Settings!$B$2,0,0))</f>
        <v/>
      </c>
      <c r="H34" s="10" t="str">
        <f>IF(B34="","",SUM($E$2:E34)/TIME([1]Settings!$B$2,0,0))</f>
        <v/>
      </c>
      <c r="I34" s="11"/>
      <c r="J34" s="1"/>
    </row>
    <row r="35" spans="1:10">
      <c r="A35" s="5" t="str">
        <f t="shared" si="1"/>
        <v/>
      </c>
      <c r="B35" s="6"/>
      <c r="C35" s="7"/>
      <c r="D35" s="7"/>
      <c r="E35" s="8" t="str">
        <f t="shared" si="2"/>
        <v/>
      </c>
      <c r="F35" s="9"/>
      <c r="G35" s="10" t="str">
        <f>IF(E35="","",E35/TIME([1]Settings!$B$2,0,0))</f>
        <v/>
      </c>
      <c r="H35" s="10" t="str">
        <f>IF(B35="","",SUM($E$2:E35)/TIME([1]Settings!$B$2,0,0))</f>
        <v/>
      </c>
      <c r="I35" s="11"/>
      <c r="J35" s="1"/>
    </row>
    <row r="36" spans="1:10">
      <c r="A36" s="5" t="str">
        <f t="shared" si="1"/>
        <v/>
      </c>
      <c r="B36" s="6"/>
      <c r="C36" s="7"/>
      <c r="D36" s="7"/>
      <c r="E36" s="8" t="str">
        <f t="shared" si="2"/>
        <v/>
      </c>
      <c r="F36" s="9"/>
      <c r="G36" s="10" t="str">
        <f>IF(E36="","",E36/TIME([1]Settings!$B$2,0,0))</f>
        <v/>
      </c>
      <c r="H36" s="10" t="str">
        <f>IF(B36="","",SUM($E$2:E36)/TIME([1]Settings!$B$2,0,0))</f>
        <v/>
      </c>
      <c r="I36" s="11"/>
      <c r="J36" s="1"/>
    </row>
    <row r="37" spans="1:10">
      <c r="A37" s="5" t="str">
        <f t="shared" si="1"/>
        <v/>
      </c>
      <c r="B37" s="6"/>
      <c r="C37" s="7"/>
      <c r="D37" s="7"/>
      <c r="E37" s="8" t="str">
        <f t="shared" si="2"/>
        <v/>
      </c>
      <c r="F37" s="9"/>
      <c r="G37" s="10" t="str">
        <f>IF(E37="","",E37/TIME([1]Settings!$B$2,0,0))</f>
        <v/>
      </c>
      <c r="H37" s="10" t="str">
        <f>IF(B37="","",SUM($E$2:E37)/TIME([1]Settings!$B$2,0,0))</f>
        <v/>
      </c>
      <c r="I37" s="11"/>
      <c r="J37" s="1"/>
    </row>
    <row r="38" spans="1:10">
      <c r="A38" s="5" t="str">
        <f t="shared" si="1"/>
        <v/>
      </c>
      <c r="B38" s="6"/>
      <c r="C38" s="7"/>
      <c r="D38" s="7"/>
      <c r="E38" s="8" t="str">
        <f t="shared" si="2"/>
        <v/>
      </c>
      <c r="F38" s="9"/>
      <c r="G38" s="10" t="str">
        <f>IF(E38="","",E38/TIME([1]Settings!$B$2,0,0))</f>
        <v/>
      </c>
      <c r="H38" s="10" t="str">
        <f>IF(B38="","",SUM($E$2:E38)/TIME([1]Settings!$B$2,0,0))</f>
        <v/>
      </c>
      <c r="I38" s="11"/>
      <c r="J38" s="1"/>
    </row>
    <row r="39" spans="1:10">
      <c r="A39" s="5" t="str">
        <f t="shared" si="1"/>
        <v/>
      </c>
      <c r="B39" s="6"/>
      <c r="C39" s="7"/>
      <c r="D39" s="7"/>
      <c r="E39" s="8" t="str">
        <f t="shared" si="2"/>
        <v/>
      </c>
      <c r="F39" s="9"/>
      <c r="G39" s="10" t="str">
        <f>IF(E39="","",E39/TIME([1]Settings!$B$2,0,0))</f>
        <v/>
      </c>
      <c r="H39" s="10" t="str">
        <f>IF(B39="","",SUM($E$2:E39)/TIME([1]Settings!$B$2,0,0))</f>
        <v/>
      </c>
      <c r="I39" s="11"/>
      <c r="J39" s="1"/>
    </row>
    <row r="40" spans="1:10">
      <c r="A40" s="5" t="str">
        <f t="shared" si="1"/>
        <v/>
      </c>
      <c r="B40" s="6"/>
      <c r="C40" s="7"/>
      <c r="D40" s="7"/>
      <c r="E40" s="8" t="str">
        <f t="shared" si="2"/>
        <v/>
      </c>
      <c r="F40" s="9"/>
      <c r="G40" s="10" t="str">
        <f>IF(E40="","",E40/TIME([1]Settings!$B$2,0,0))</f>
        <v/>
      </c>
      <c r="H40" s="10" t="str">
        <f>IF(B40="","",SUM($E$2:E40)/TIME([1]Settings!$B$2,0,0))</f>
        <v/>
      </c>
      <c r="I40" s="11"/>
      <c r="J40" s="1"/>
    </row>
    <row r="41" spans="1:10">
      <c r="A41" s="5" t="str">
        <f t="shared" si="1"/>
        <v/>
      </c>
      <c r="B41" s="6"/>
      <c r="C41" s="7"/>
      <c r="D41" s="7"/>
      <c r="E41" s="8" t="str">
        <f t="shared" si="2"/>
        <v/>
      </c>
      <c r="F41" s="9"/>
      <c r="G41" s="10" t="str">
        <f>IF(E41="","",E41/TIME([1]Settings!$B$2,0,0))</f>
        <v/>
      </c>
      <c r="H41" s="10" t="str">
        <f>IF(B41="","",SUM($E$2:E41)/TIME([1]Settings!$B$2,0,0))</f>
        <v/>
      </c>
      <c r="I41" s="11"/>
      <c r="J41" s="1"/>
    </row>
    <row r="42" spans="1:10">
      <c r="A42" s="5" t="str">
        <f t="shared" si="1"/>
        <v/>
      </c>
      <c r="B42" s="6"/>
      <c r="C42" s="7"/>
      <c r="D42" s="7"/>
      <c r="E42" s="8" t="str">
        <f t="shared" si="2"/>
        <v/>
      </c>
      <c r="F42" s="9"/>
      <c r="G42" s="10" t="str">
        <f>IF(E42="","",E42/TIME([1]Settings!$B$2,0,0))</f>
        <v/>
      </c>
      <c r="H42" s="10" t="str">
        <f>IF(B42="","",SUM($E$2:E42)/TIME([1]Settings!$B$2,0,0))</f>
        <v/>
      </c>
      <c r="I42" s="11"/>
      <c r="J42" s="1"/>
    </row>
    <row r="43" spans="1:10">
      <c r="A43" s="5" t="str">
        <f t="shared" si="1"/>
        <v/>
      </c>
      <c r="B43" s="6"/>
      <c r="C43" s="7"/>
      <c r="D43" s="7"/>
      <c r="E43" s="8" t="str">
        <f t="shared" si="2"/>
        <v/>
      </c>
      <c r="F43" s="9"/>
      <c r="G43" s="10" t="str">
        <f>IF(E43="","",E43/TIME([1]Settings!$B$2,0,0))</f>
        <v/>
      </c>
      <c r="H43" s="10" t="str">
        <f>IF(B43="","",SUM($E$2:E43)/TIME([1]Settings!$B$2,0,0))</f>
        <v/>
      </c>
      <c r="I43" s="11"/>
      <c r="J43" s="1"/>
    </row>
    <row r="44" spans="1:10">
      <c r="A44" s="5" t="str">
        <f t="shared" si="1"/>
        <v/>
      </c>
      <c r="B44" s="6"/>
      <c r="C44" s="7"/>
      <c r="D44" s="7"/>
      <c r="E44" s="8" t="str">
        <f t="shared" si="2"/>
        <v/>
      </c>
      <c r="F44" s="9"/>
      <c r="G44" s="10" t="str">
        <f>IF(E44="","",E44/TIME([1]Settings!$B$2,0,0))</f>
        <v/>
      </c>
      <c r="H44" s="10" t="str">
        <f>IF(B44="","",SUM($E$2:E44)/TIME([1]Settings!$B$2,0,0))</f>
        <v/>
      </c>
      <c r="I44" s="11"/>
      <c r="J44" s="1"/>
    </row>
    <row r="45" spans="1:10">
      <c r="A45" s="5" t="str">
        <f t="shared" si="1"/>
        <v/>
      </c>
      <c r="B45" s="6"/>
      <c r="C45" s="7"/>
      <c r="D45" s="7"/>
      <c r="E45" s="8" t="str">
        <f t="shared" si="2"/>
        <v/>
      </c>
      <c r="F45" s="9"/>
      <c r="G45" s="10" t="str">
        <f>IF(E45="","",E45/TIME([1]Settings!$B$2,0,0))</f>
        <v/>
      </c>
      <c r="H45" s="10" t="str">
        <f>IF(B45="","",SUM($E$2:E45)/TIME([1]Settings!$B$2,0,0))</f>
        <v/>
      </c>
      <c r="I45" s="11"/>
      <c r="J45" s="1"/>
    </row>
    <row r="46" spans="1:10">
      <c r="A46" s="5" t="str">
        <f t="shared" si="1"/>
        <v/>
      </c>
      <c r="B46" s="6"/>
      <c r="C46" s="7"/>
      <c r="D46" s="7"/>
      <c r="E46" s="8" t="str">
        <f t="shared" si="2"/>
        <v/>
      </c>
      <c r="F46" s="9"/>
      <c r="G46" s="10" t="str">
        <f>IF(E46="","",E46/TIME([1]Settings!$B$2,0,0))</f>
        <v/>
      </c>
      <c r="H46" s="10" t="str">
        <f>IF(B46="","",SUM($E$2:E46)/TIME([1]Settings!$B$2,0,0))</f>
        <v/>
      </c>
      <c r="I46" s="11"/>
      <c r="J46" s="1"/>
    </row>
    <row r="47" spans="1:10">
      <c r="A47" s="5" t="str">
        <f t="shared" si="1"/>
        <v/>
      </c>
      <c r="B47" s="6"/>
      <c r="C47" s="7"/>
      <c r="D47" s="7"/>
      <c r="E47" s="8" t="str">
        <f t="shared" si="2"/>
        <v/>
      </c>
      <c r="F47" s="9"/>
      <c r="G47" s="10" t="str">
        <f>IF(E47="","",E47/TIME([1]Settings!$B$2,0,0))</f>
        <v/>
      </c>
      <c r="H47" s="10" t="str">
        <f>IF(B47="","",SUM($E$2:E47)/TIME([1]Settings!$B$2,0,0))</f>
        <v/>
      </c>
      <c r="I47" s="11"/>
      <c r="J47" s="1"/>
    </row>
    <row r="48" spans="1:10">
      <c r="A48" s="5" t="str">
        <f t="shared" si="1"/>
        <v/>
      </c>
      <c r="B48" s="6"/>
      <c r="C48" s="7"/>
      <c r="D48" s="7"/>
      <c r="E48" s="8" t="str">
        <f t="shared" si="2"/>
        <v/>
      </c>
      <c r="F48" s="9"/>
      <c r="G48" s="10" t="str">
        <f>IF(E48="","",E48/TIME([1]Settings!$B$2,0,0))</f>
        <v/>
      </c>
      <c r="H48" s="10" t="str">
        <f>IF(B48="","",SUM($E$2:E48)/TIME([1]Settings!$B$2,0,0))</f>
        <v/>
      </c>
      <c r="I48" s="11"/>
      <c r="J48" s="1"/>
    </row>
    <row r="49" spans="1:10">
      <c r="A49" s="5" t="str">
        <f t="shared" si="1"/>
        <v/>
      </c>
      <c r="B49" s="6"/>
      <c r="C49" s="7"/>
      <c r="D49" s="7"/>
      <c r="E49" s="8" t="str">
        <f t="shared" si="2"/>
        <v/>
      </c>
      <c r="F49" s="9"/>
      <c r="G49" s="10" t="str">
        <f>IF(E49="","",E49/TIME([1]Settings!$B$2,0,0))</f>
        <v/>
      </c>
      <c r="H49" s="10" t="str">
        <f>IF(B49="","",SUM($E$2:E49)/TIME([1]Settings!$B$2,0,0))</f>
        <v/>
      </c>
      <c r="I49" s="11"/>
      <c r="J49" s="1"/>
    </row>
    <row r="50" spans="1:10">
      <c r="A50" s="5" t="str">
        <f t="shared" si="1"/>
        <v/>
      </c>
      <c r="B50" s="6"/>
      <c r="C50" s="7"/>
      <c r="D50" s="7"/>
      <c r="E50" s="8" t="str">
        <f t="shared" si="2"/>
        <v/>
      </c>
      <c r="F50" s="9"/>
      <c r="G50" s="10" t="str">
        <f>IF(E50="","",E50/TIME([1]Settings!$B$2,0,0))</f>
        <v/>
      </c>
      <c r="H50" s="10" t="str">
        <f>IF(B50="","",SUM($E$2:E50)/TIME([1]Settings!$B$2,0,0))</f>
        <v/>
      </c>
      <c r="I50" s="11"/>
      <c r="J50" s="1"/>
    </row>
    <row r="51" spans="1:10">
      <c r="A51" s="5" t="str">
        <f t="shared" si="1"/>
        <v/>
      </c>
      <c r="B51" s="6"/>
      <c r="C51" s="7"/>
      <c r="D51" s="7"/>
      <c r="E51" s="8" t="str">
        <f t="shared" si="2"/>
        <v/>
      </c>
      <c r="F51" s="9"/>
      <c r="G51" s="10" t="str">
        <f>IF(E51="","",E51/TIME([1]Settings!$B$2,0,0))</f>
        <v/>
      </c>
      <c r="H51" s="10" t="str">
        <f>IF(B51="","",SUM($E$2:E51)/TIME([1]Settings!$B$2,0,0))</f>
        <v/>
      </c>
      <c r="I51" s="11"/>
      <c r="J51" s="1"/>
    </row>
    <row r="52" spans="1:10">
      <c r="A52" s="5" t="str">
        <f t="shared" si="1"/>
        <v/>
      </c>
      <c r="B52" s="6"/>
      <c r="C52" s="7"/>
      <c r="D52" s="7"/>
      <c r="E52" s="8" t="str">
        <f t="shared" si="2"/>
        <v/>
      </c>
      <c r="F52" s="9"/>
      <c r="G52" s="10" t="str">
        <f>IF(E52="","",E52/TIME([1]Settings!$B$2,0,0))</f>
        <v/>
      </c>
      <c r="H52" s="10" t="str">
        <f>IF(B52="","",SUM($E$2:E52)/TIME([1]Settings!$B$2,0,0))</f>
        <v/>
      </c>
      <c r="I52" s="11"/>
      <c r="J52" s="1"/>
    </row>
    <row r="53" spans="1:10">
      <c r="A53" s="5" t="str">
        <f t="shared" si="1"/>
        <v/>
      </c>
      <c r="B53" s="6"/>
      <c r="C53" s="7"/>
      <c r="D53" s="7"/>
      <c r="E53" s="8" t="str">
        <f t="shared" si="2"/>
        <v/>
      </c>
      <c r="F53" s="9"/>
      <c r="G53" s="10" t="str">
        <f>IF(E53="","",E53/TIME([1]Settings!$B$2,0,0))</f>
        <v/>
      </c>
      <c r="H53" s="10" t="str">
        <f>IF(B53="","",SUM($E$2:E53)/TIME([1]Settings!$B$2,0,0))</f>
        <v/>
      </c>
      <c r="I53" s="11"/>
      <c r="J53" s="1"/>
    </row>
    <row r="54" spans="1:10">
      <c r="A54" s="5" t="str">
        <f t="shared" si="1"/>
        <v/>
      </c>
      <c r="B54" s="6"/>
      <c r="C54" s="7"/>
      <c r="D54" s="7"/>
      <c r="E54" s="8" t="str">
        <f t="shared" si="2"/>
        <v/>
      </c>
      <c r="F54" s="9"/>
      <c r="G54" s="10" t="str">
        <f>IF(E54="","",E54/TIME([1]Settings!$B$2,0,0))</f>
        <v/>
      </c>
      <c r="H54" s="10" t="str">
        <f>IF(B54="","",SUM($E$2:E54)/TIME([1]Settings!$B$2,0,0))</f>
        <v/>
      </c>
      <c r="I54" s="11"/>
      <c r="J54" s="1"/>
    </row>
    <row r="55" spans="1:10">
      <c r="A55" s="5" t="str">
        <f t="shared" si="1"/>
        <v/>
      </c>
      <c r="B55" s="6"/>
      <c r="C55" s="7"/>
      <c r="D55" s="7"/>
      <c r="E55" s="8" t="str">
        <f t="shared" si="2"/>
        <v/>
      </c>
      <c r="F55" s="9"/>
      <c r="G55" s="10" t="str">
        <f>IF(E55="","",E55/TIME([1]Settings!$B$2,0,0))</f>
        <v/>
      </c>
      <c r="H55" s="10" t="str">
        <f>IF(B55="","",SUM($E$2:E55)/TIME([1]Settings!$B$2,0,0))</f>
        <v/>
      </c>
      <c r="I55" s="11"/>
      <c r="J55" s="1"/>
    </row>
    <row r="56" spans="1:10">
      <c r="A56" s="5" t="str">
        <f t="shared" si="1"/>
        <v/>
      </c>
      <c r="B56" s="6"/>
      <c r="C56" s="7"/>
      <c r="D56" s="7"/>
      <c r="E56" s="8" t="str">
        <f t="shared" si="2"/>
        <v/>
      </c>
      <c r="F56" s="9"/>
      <c r="G56" s="10" t="str">
        <f>IF(E56="","",E56/TIME([1]Settings!$B$2,0,0))</f>
        <v/>
      </c>
      <c r="H56" s="10" t="str">
        <f>IF(B56="","",SUM($E$2:E56)/TIME([1]Settings!$B$2,0,0))</f>
        <v/>
      </c>
      <c r="I56" s="11"/>
      <c r="J56" s="1"/>
    </row>
    <row r="57" spans="1:10">
      <c r="A57" s="5" t="str">
        <f t="shared" si="1"/>
        <v/>
      </c>
      <c r="B57" s="6"/>
      <c r="C57" s="7"/>
      <c r="D57" s="7"/>
      <c r="E57" s="8" t="str">
        <f t="shared" si="2"/>
        <v/>
      </c>
      <c r="F57" s="9"/>
      <c r="G57" s="10" t="str">
        <f>IF(E57="","",E57/TIME([1]Settings!$B$2,0,0))</f>
        <v/>
      </c>
      <c r="H57" s="10" t="str">
        <f>IF(B57="","",SUM($E$2:E57)/TIME([1]Settings!$B$2,0,0))</f>
        <v/>
      </c>
      <c r="I57" s="11"/>
      <c r="J57" s="1"/>
    </row>
    <row r="58" spans="1:10">
      <c r="A58" s="5" t="str">
        <f t="shared" si="1"/>
        <v/>
      </c>
      <c r="B58" s="6"/>
      <c r="C58" s="7"/>
      <c r="D58" s="7"/>
      <c r="E58" s="8" t="str">
        <f t="shared" si="2"/>
        <v/>
      </c>
      <c r="F58" s="9"/>
      <c r="G58" s="10" t="str">
        <f>IF(E58="","",E58/TIME([1]Settings!$B$2,0,0))</f>
        <v/>
      </c>
      <c r="H58" s="10" t="str">
        <f>IF(B58="","",SUM($E$2:E58)/TIME([1]Settings!$B$2,0,0))</f>
        <v/>
      </c>
      <c r="I58" s="11"/>
      <c r="J58" s="1"/>
    </row>
    <row r="59" spans="1:10">
      <c r="A59" s="5" t="str">
        <f t="shared" si="1"/>
        <v/>
      </c>
      <c r="B59" s="6"/>
      <c r="C59" s="7"/>
      <c r="D59" s="7"/>
      <c r="E59" s="8" t="str">
        <f t="shared" si="2"/>
        <v/>
      </c>
      <c r="F59" s="9"/>
      <c r="G59" s="10" t="str">
        <f>IF(E59="","",E59/TIME([1]Settings!$B$2,0,0))</f>
        <v/>
      </c>
      <c r="H59" s="10" t="str">
        <f>IF(B59="","",SUM($E$2:E59)/TIME([1]Settings!$B$2,0,0))</f>
        <v/>
      </c>
      <c r="I59" s="11"/>
      <c r="J59" s="1"/>
    </row>
    <row r="60" spans="1:10">
      <c r="A60" s="5" t="str">
        <f t="shared" si="1"/>
        <v/>
      </c>
      <c r="B60" s="6"/>
      <c r="C60" s="7"/>
      <c r="D60" s="7"/>
      <c r="E60" s="8" t="str">
        <f t="shared" si="2"/>
        <v/>
      </c>
      <c r="F60" s="9"/>
      <c r="G60" s="10" t="str">
        <f>IF(E60="","",E60/TIME([1]Settings!$B$2,0,0))</f>
        <v/>
      </c>
      <c r="H60" s="10" t="str">
        <f>IF(B60="","",SUM($E$2:E60)/TIME([1]Settings!$B$2,0,0))</f>
        <v/>
      </c>
      <c r="I60" s="11"/>
      <c r="J60" s="1"/>
    </row>
    <row r="61" spans="1:10">
      <c r="A61" s="5" t="str">
        <f t="shared" si="1"/>
        <v/>
      </c>
      <c r="B61" s="6"/>
      <c r="C61" s="7"/>
      <c r="D61" s="7"/>
      <c r="E61" s="8" t="str">
        <f t="shared" si="2"/>
        <v/>
      </c>
      <c r="F61" s="9"/>
      <c r="G61" s="10" t="str">
        <f>IF(E61="","",E61/TIME([1]Settings!$B$2,0,0))</f>
        <v/>
      </c>
      <c r="H61" s="10" t="str">
        <f>IF(B61="","",SUM($E$2:E61)/TIME([1]Settings!$B$2,0,0))</f>
        <v/>
      </c>
      <c r="I61" s="11"/>
      <c r="J61" s="1"/>
    </row>
    <row r="62" spans="1:10">
      <c r="A62" s="5" t="str">
        <f t="shared" si="1"/>
        <v/>
      </c>
      <c r="B62" s="6"/>
      <c r="C62" s="7"/>
      <c r="D62" s="7"/>
      <c r="E62" s="8" t="str">
        <f t="shared" si="2"/>
        <v/>
      </c>
      <c r="F62" s="9"/>
      <c r="G62" s="10" t="str">
        <f>IF(E62="","",E62/TIME([1]Settings!$B$2,0,0))</f>
        <v/>
      </c>
      <c r="H62" s="10" t="str">
        <f>IF(B62="","",SUM($E$2:E62)/TIME([1]Settings!$B$2,0,0))</f>
        <v/>
      </c>
      <c r="I62" s="11"/>
      <c r="J62" s="1"/>
    </row>
    <row r="63" spans="1:10">
      <c r="A63" s="5" t="str">
        <f t="shared" si="1"/>
        <v/>
      </c>
      <c r="B63" s="6"/>
      <c r="C63" s="7"/>
      <c r="D63" s="7"/>
      <c r="E63" s="8" t="str">
        <f t="shared" si="2"/>
        <v/>
      </c>
      <c r="F63" s="9"/>
      <c r="G63" s="10" t="str">
        <f>IF(E63="","",E63/TIME([1]Settings!$B$2,0,0))</f>
        <v/>
      </c>
      <c r="H63" s="10" t="str">
        <f>IF(B63="","",SUM($E$2:E63)/TIME([1]Settings!$B$2,0,0))</f>
        <v/>
      </c>
      <c r="I63" s="11"/>
      <c r="J63" s="1"/>
    </row>
    <row r="64" spans="1:10">
      <c r="A64" s="5" t="str">
        <f t="shared" si="1"/>
        <v/>
      </c>
      <c r="B64" s="6"/>
      <c r="C64" s="7"/>
      <c r="D64" s="7"/>
      <c r="E64" s="8" t="str">
        <f t="shared" si="2"/>
        <v/>
      </c>
      <c r="F64" s="9"/>
      <c r="G64" s="10" t="str">
        <f>IF(E64="","",E64/TIME([1]Settings!$B$2,0,0))</f>
        <v/>
      </c>
      <c r="H64" s="10" t="str">
        <f>IF(B64="","",SUM($E$2:E64)/TIME([1]Settings!$B$2,0,0))</f>
        <v/>
      </c>
      <c r="I64" s="11"/>
      <c r="J64" s="1"/>
    </row>
    <row r="65" spans="1:10">
      <c r="A65" s="5" t="str">
        <f t="shared" si="1"/>
        <v/>
      </c>
      <c r="B65" s="6"/>
      <c r="C65" s="7"/>
      <c r="D65" s="7"/>
      <c r="E65" s="8" t="str">
        <f t="shared" si="2"/>
        <v/>
      </c>
      <c r="F65" s="9"/>
      <c r="G65" s="10" t="str">
        <f>IF(E65="","",E65/TIME([1]Settings!$B$2,0,0))</f>
        <v/>
      </c>
      <c r="H65" s="10" t="str">
        <f>IF(B65="","",SUM($E$2:E65)/TIME([1]Settings!$B$2,0,0))</f>
        <v/>
      </c>
      <c r="I65" s="11"/>
      <c r="J65" s="1"/>
    </row>
    <row r="66" spans="1:10">
      <c r="A66" s="5" t="str">
        <f t="shared" si="1"/>
        <v/>
      </c>
      <c r="B66" s="6"/>
      <c r="C66" s="7"/>
      <c r="D66" s="7"/>
      <c r="E66" s="8" t="str">
        <f t="shared" ref="E66:E97" si="3">IF(COUNTA(C66:D66)&lt;2,"",MOD(D66-C66,1))</f>
        <v/>
      </c>
      <c r="F66" s="9"/>
      <c r="G66" s="10" t="str">
        <f>IF(E66="","",E66/TIME([1]Settings!$B$2,0,0))</f>
        <v/>
      </c>
      <c r="H66" s="10" t="str">
        <f>IF(B66="","",SUM($E$2:E66)/TIME([1]Settings!$B$2,0,0))</f>
        <v/>
      </c>
      <c r="I66" s="11"/>
      <c r="J66" s="1"/>
    </row>
    <row r="67" spans="1:10">
      <c r="A67" s="5" t="str">
        <f t="shared" si="1"/>
        <v/>
      </c>
      <c r="B67" s="6"/>
      <c r="C67" s="7"/>
      <c r="D67" s="7"/>
      <c r="E67" s="8" t="str">
        <f t="shared" si="3"/>
        <v/>
      </c>
      <c r="F67" s="9"/>
      <c r="G67" s="10" t="str">
        <f>IF(E67="","",E67/TIME([1]Settings!$B$2,0,0))</f>
        <v/>
      </c>
      <c r="H67" s="10" t="str">
        <f>IF(B67="","",SUM($E$2:E67)/TIME([1]Settings!$B$2,0,0))</f>
        <v/>
      </c>
      <c r="I67" s="11"/>
      <c r="J67" s="1"/>
    </row>
    <row r="68" spans="1:10">
      <c r="A68" s="5" t="str">
        <f t="shared" si="1"/>
        <v/>
      </c>
      <c r="B68" s="6"/>
      <c r="C68" s="7"/>
      <c r="D68" s="7"/>
      <c r="E68" s="8" t="str">
        <f t="shared" si="3"/>
        <v/>
      </c>
      <c r="F68" s="9"/>
      <c r="G68" s="10" t="str">
        <f>IF(E68="","",E68/TIME([1]Settings!$B$2,0,0))</f>
        <v/>
      </c>
      <c r="H68" s="10" t="str">
        <f>IF(B68="","",SUM($E$2:E68)/TIME([1]Settings!$B$2,0,0))</f>
        <v/>
      </c>
      <c r="I68" s="11"/>
      <c r="J68" s="1"/>
    </row>
    <row r="69" spans="1:10">
      <c r="A69" s="5" t="str">
        <f t="shared" si="1"/>
        <v/>
      </c>
      <c r="B69" s="6"/>
      <c r="C69" s="7"/>
      <c r="D69" s="7"/>
      <c r="E69" s="8" t="str">
        <f t="shared" si="3"/>
        <v/>
      </c>
      <c r="F69" s="9"/>
      <c r="G69" s="10" t="str">
        <f>IF(E69="","",E69/TIME([1]Settings!$B$2,0,0))</f>
        <v/>
      </c>
      <c r="H69" s="10" t="str">
        <f>IF(B69="","",SUM($E$2:E69)/TIME([1]Settings!$B$2,0,0))</f>
        <v/>
      </c>
      <c r="I69" s="11"/>
      <c r="J69" s="1"/>
    </row>
    <row r="70" spans="1:10">
      <c r="A70" s="5" t="str">
        <f t="shared" si="1"/>
        <v/>
      </c>
      <c r="B70" s="6"/>
      <c r="C70" s="7"/>
      <c r="D70" s="7"/>
      <c r="E70" s="8" t="str">
        <f t="shared" si="3"/>
        <v/>
      </c>
      <c r="F70" s="9"/>
      <c r="G70" s="10" t="str">
        <f>IF(E70="","",E70/TIME([1]Settings!$B$2,0,0))</f>
        <v/>
      </c>
      <c r="H70" s="10" t="str">
        <f>IF(B70="","",SUM($E$2:E70)/TIME([1]Settings!$B$2,0,0))</f>
        <v/>
      </c>
      <c r="I70" s="11"/>
      <c r="J70" s="1"/>
    </row>
    <row r="71" spans="1:10">
      <c r="A71" s="5" t="str">
        <f t="shared" si="1"/>
        <v/>
      </c>
      <c r="B71" s="6"/>
      <c r="C71" s="7"/>
      <c r="D71" s="7"/>
      <c r="E71" s="8" t="str">
        <f t="shared" si="3"/>
        <v/>
      </c>
      <c r="F71" s="9"/>
      <c r="G71" s="10" t="str">
        <f>IF(E71="","",E71/TIME([1]Settings!$B$2,0,0))</f>
        <v/>
      </c>
      <c r="H71" s="10" t="str">
        <f>IF(B71="","",SUM($E$2:E71)/TIME([1]Settings!$B$2,0,0))</f>
        <v/>
      </c>
      <c r="I71" s="11"/>
      <c r="J71" s="1"/>
    </row>
    <row r="72" spans="1:10">
      <c r="A72" s="5" t="str">
        <f t="shared" si="1"/>
        <v/>
      </c>
      <c r="B72" s="6"/>
      <c r="C72" s="7"/>
      <c r="D72" s="7"/>
      <c r="E72" s="8" t="str">
        <f t="shared" si="3"/>
        <v/>
      </c>
      <c r="F72" s="9"/>
      <c r="G72" s="10" t="str">
        <f>IF(E72="","",E72/TIME([1]Settings!$B$2,0,0))</f>
        <v/>
      </c>
      <c r="H72" s="10" t="str">
        <f>IF(B72="","",SUM($E$2:E72)/TIME([1]Settings!$B$2,0,0))</f>
        <v/>
      </c>
      <c r="I72" s="11"/>
      <c r="J72" s="1"/>
    </row>
    <row r="73" spans="1:10">
      <c r="A73" s="5" t="str">
        <f t="shared" si="1"/>
        <v/>
      </c>
      <c r="B73" s="6"/>
      <c r="C73" s="7"/>
      <c r="D73" s="7"/>
      <c r="E73" s="8" t="str">
        <f t="shared" si="3"/>
        <v/>
      </c>
      <c r="F73" s="9"/>
      <c r="G73" s="10" t="str">
        <f>IF(E73="","",E73/TIME([1]Settings!$B$2,0,0))</f>
        <v/>
      </c>
      <c r="H73" s="10" t="str">
        <f>IF(B73="","",SUM($E$2:E73)/TIME([1]Settings!$B$2,0,0))</f>
        <v/>
      </c>
      <c r="I73" s="11"/>
      <c r="J73" s="1"/>
    </row>
    <row r="74" spans="1:10">
      <c r="A74" s="5" t="str">
        <f t="shared" si="1"/>
        <v/>
      </c>
      <c r="B74" s="6"/>
      <c r="C74" s="7"/>
      <c r="D74" s="7"/>
      <c r="E74" s="8" t="str">
        <f t="shared" si="3"/>
        <v/>
      </c>
      <c r="F74" s="9"/>
      <c r="G74" s="10" t="str">
        <f>IF(E74="","",E74/TIME([1]Settings!$B$2,0,0))</f>
        <v/>
      </c>
      <c r="H74" s="10" t="str">
        <f>IF(B74="","",SUM($E$2:E74)/TIME([1]Settings!$B$2,0,0))</f>
        <v/>
      </c>
      <c r="I74" s="11"/>
      <c r="J74" s="1"/>
    </row>
    <row r="75" spans="1:10">
      <c r="A75" s="5" t="str">
        <f t="shared" si="1"/>
        <v/>
      </c>
      <c r="B75" s="6"/>
      <c r="C75" s="7"/>
      <c r="D75" s="7"/>
      <c r="E75" s="8" t="str">
        <f t="shared" si="3"/>
        <v/>
      </c>
      <c r="F75" s="9"/>
      <c r="G75" s="10" t="str">
        <f>IF(E75="","",E75/TIME([1]Settings!$B$2,0,0))</f>
        <v/>
      </c>
      <c r="H75" s="10" t="str">
        <f>IF(B75="","",SUM($E$2:E75)/TIME([1]Settings!$B$2,0,0))</f>
        <v/>
      </c>
      <c r="I75" s="11"/>
      <c r="J75" s="1"/>
    </row>
    <row r="76" spans="1:10">
      <c r="A76" s="5" t="str">
        <f t="shared" si="1"/>
        <v/>
      </c>
      <c r="B76" s="6"/>
      <c r="C76" s="7"/>
      <c r="D76" s="7"/>
      <c r="E76" s="8" t="str">
        <f t="shared" si="3"/>
        <v/>
      </c>
      <c r="F76" s="9"/>
      <c r="G76" s="10" t="str">
        <f>IF(E76="","",E76/TIME([1]Settings!$B$2,0,0))</f>
        <v/>
      </c>
      <c r="H76" s="10" t="str">
        <f>IF(B76="","",SUM($E$2:E76)/TIME([1]Settings!$B$2,0,0))</f>
        <v/>
      </c>
      <c r="I76" s="11"/>
      <c r="J76" s="1"/>
    </row>
    <row r="77" spans="1:10">
      <c r="A77" s="5" t="str">
        <f t="shared" si="1"/>
        <v/>
      </c>
      <c r="B77" s="6"/>
      <c r="C77" s="7"/>
      <c r="D77" s="7"/>
      <c r="E77" s="8" t="str">
        <f t="shared" si="3"/>
        <v/>
      </c>
      <c r="F77" s="9"/>
      <c r="G77" s="10" t="str">
        <f>IF(E77="","",E77/TIME([1]Settings!$B$2,0,0))</f>
        <v/>
      </c>
      <c r="H77" s="10" t="str">
        <f>IF(B77="","",SUM($E$2:E77)/TIME([1]Settings!$B$2,0,0))</f>
        <v/>
      </c>
      <c r="I77" s="11"/>
      <c r="J77" s="1"/>
    </row>
    <row r="78" spans="1:10">
      <c r="A78" s="5" t="str">
        <f t="shared" si="1"/>
        <v/>
      </c>
      <c r="B78" s="6"/>
      <c r="C78" s="7"/>
      <c r="D78" s="7"/>
      <c r="E78" s="8" t="str">
        <f t="shared" si="3"/>
        <v/>
      </c>
      <c r="F78" s="9"/>
      <c r="G78" s="10" t="str">
        <f>IF(E78="","",E78/TIME([1]Settings!$B$2,0,0))</f>
        <v/>
      </c>
      <c r="H78" s="10" t="str">
        <f>IF(B78="","",SUM($E$2:E78)/TIME([1]Settings!$B$2,0,0))</f>
        <v/>
      </c>
      <c r="I78" s="11"/>
      <c r="J78" s="1"/>
    </row>
    <row r="79" spans="1:10">
      <c r="A79" s="5" t="str">
        <f t="shared" si="1"/>
        <v/>
      </c>
      <c r="B79" s="6"/>
      <c r="C79" s="7"/>
      <c r="D79" s="7"/>
      <c r="E79" s="8" t="str">
        <f t="shared" si="3"/>
        <v/>
      </c>
      <c r="F79" s="9"/>
      <c r="G79" s="10" t="str">
        <f>IF(E79="","",E79/TIME([1]Settings!$B$2,0,0))</f>
        <v/>
      </c>
      <c r="H79" s="10" t="str">
        <f>IF(B79="","",SUM($E$2:E79)/TIME([1]Settings!$B$2,0,0))</f>
        <v/>
      </c>
      <c r="I79" s="11"/>
      <c r="J79" s="1"/>
    </row>
    <row r="80" spans="1:10">
      <c r="A80" s="5" t="str">
        <f t="shared" si="1"/>
        <v/>
      </c>
      <c r="B80" s="6"/>
      <c r="C80" s="7"/>
      <c r="D80" s="7"/>
      <c r="E80" s="8" t="str">
        <f t="shared" si="3"/>
        <v/>
      </c>
      <c r="F80" s="9"/>
      <c r="G80" s="10" t="str">
        <f>IF(E80="","",E80/TIME([1]Settings!$B$2,0,0))</f>
        <v/>
      </c>
      <c r="H80" s="10" t="str">
        <f>IF(B80="","",SUM($E$2:E80)/TIME([1]Settings!$B$2,0,0))</f>
        <v/>
      </c>
      <c r="I80" s="11"/>
      <c r="J80" s="1"/>
    </row>
    <row r="81" spans="1:10">
      <c r="A81" s="5" t="str">
        <f t="shared" ref="A81:A101" si="4">IF(B81="","",ROW()-1)</f>
        <v/>
      </c>
      <c r="B81" s="6"/>
      <c r="C81" s="7"/>
      <c r="D81" s="7"/>
      <c r="E81" s="8" t="str">
        <f t="shared" si="3"/>
        <v/>
      </c>
      <c r="F81" s="9"/>
      <c r="G81" s="10" t="str">
        <f>IF(E81="","",E81/TIME([1]Settings!$B$2,0,0))</f>
        <v/>
      </c>
      <c r="H81" s="10" t="str">
        <f>IF(B81="","",SUM($E$2:E81)/TIME([1]Settings!$B$2,0,0))</f>
        <v/>
      </c>
      <c r="I81" s="11"/>
      <c r="J81" s="1"/>
    </row>
    <row r="82" spans="1:10">
      <c r="A82" s="5" t="str">
        <f t="shared" si="4"/>
        <v/>
      </c>
      <c r="B82" s="6"/>
      <c r="C82" s="7"/>
      <c r="D82" s="7"/>
      <c r="E82" s="8" t="str">
        <f t="shared" si="3"/>
        <v/>
      </c>
      <c r="F82" s="9"/>
      <c r="G82" s="10" t="str">
        <f>IF(E82="","",E82/TIME([1]Settings!$B$2,0,0))</f>
        <v/>
      </c>
      <c r="H82" s="10" t="str">
        <f>IF(B82="","",SUM($E$2:E82)/TIME([1]Settings!$B$2,0,0))</f>
        <v/>
      </c>
      <c r="I82" s="11"/>
      <c r="J82" s="1"/>
    </row>
    <row r="83" spans="1:10">
      <c r="A83" s="5" t="str">
        <f t="shared" si="4"/>
        <v/>
      </c>
      <c r="B83" s="6"/>
      <c r="C83" s="7"/>
      <c r="D83" s="7"/>
      <c r="E83" s="8" t="str">
        <f t="shared" si="3"/>
        <v/>
      </c>
      <c r="F83" s="9"/>
      <c r="G83" s="10" t="str">
        <f>IF(E83="","",E83/TIME([1]Settings!$B$2,0,0))</f>
        <v/>
      </c>
      <c r="H83" s="10" t="str">
        <f>IF(B83="","",SUM($E$2:E83)/TIME([1]Settings!$B$2,0,0))</f>
        <v/>
      </c>
      <c r="I83" s="11"/>
      <c r="J83" s="1"/>
    </row>
    <row r="84" spans="1:10">
      <c r="A84" s="5" t="str">
        <f t="shared" si="4"/>
        <v/>
      </c>
      <c r="B84" s="6"/>
      <c r="C84" s="7"/>
      <c r="D84" s="7"/>
      <c r="E84" s="8" t="str">
        <f t="shared" si="3"/>
        <v/>
      </c>
      <c r="F84" s="9"/>
      <c r="G84" s="10" t="str">
        <f>IF(E84="","",E84/TIME([1]Settings!$B$2,0,0))</f>
        <v/>
      </c>
      <c r="H84" s="10" t="str">
        <f>IF(B84="","",SUM($E$2:E84)/TIME([1]Settings!$B$2,0,0))</f>
        <v/>
      </c>
      <c r="I84" s="11"/>
      <c r="J84" s="1"/>
    </row>
    <row r="85" spans="1:10">
      <c r="A85" s="5" t="str">
        <f t="shared" si="4"/>
        <v/>
      </c>
      <c r="B85" s="6"/>
      <c r="C85" s="7"/>
      <c r="D85" s="7"/>
      <c r="E85" s="8" t="str">
        <f t="shared" si="3"/>
        <v/>
      </c>
      <c r="F85" s="9"/>
      <c r="G85" s="10" t="str">
        <f>IF(E85="","",E85/TIME([1]Settings!$B$2,0,0))</f>
        <v/>
      </c>
      <c r="H85" s="10" t="str">
        <f>IF(B85="","",SUM($E$2:E85)/TIME([1]Settings!$B$2,0,0))</f>
        <v/>
      </c>
      <c r="I85" s="11"/>
      <c r="J85" s="1"/>
    </row>
    <row r="86" spans="1:10">
      <c r="A86" s="5" t="str">
        <f t="shared" si="4"/>
        <v/>
      </c>
      <c r="B86" s="6"/>
      <c r="C86" s="7"/>
      <c r="D86" s="7"/>
      <c r="E86" s="8" t="str">
        <f t="shared" si="3"/>
        <v/>
      </c>
      <c r="F86" s="9"/>
      <c r="G86" s="10" t="str">
        <f>IF(E86="","",E86/TIME([1]Settings!$B$2,0,0))</f>
        <v/>
      </c>
      <c r="H86" s="10" t="str">
        <f>IF(B86="","",SUM($E$2:E86)/TIME([1]Settings!$B$2,0,0))</f>
        <v/>
      </c>
      <c r="I86" s="11"/>
      <c r="J86" s="1"/>
    </row>
    <row r="87" spans="1:10">
      <c r="A87" s="5" t="str">
        <f t="shared" si="4"/>
        <v/>
      </c>
      <c r="B87" s="6"/>
      <c r="C87" s="7"/>
      <c r="D87" s="7"/>
      <c r="E87" s="8" t="str">
        <f t="shared" si="3"/>
        <v/>
      </c>
      <c r="F87" s="9"/>
      <c r="G87" s="10" t="str">
        <f>IF(E87="","",E87/TIME([1]Settings!$B$2,0,0))</f>
        <v/>
      </c>
      <c r="H87" s="10" t="str">
        <f>IF(B87="","",SUM($E$2:E87)/TIME([1]Settings!$B$2,0,0))</f>
        <v/>
      </c>
      <c r="I87" s="11"/>
      <c r="J87" s="1"/>
    </row>
    <row r="88" spans="1:10">
      <c r="A88" s="5" t="str">
        <f t="shared" si="4"/>
        <v/>
      </c>
      <c r="B88" s="6"/>
      <c r="C88" s="7"/>
      <c r="D88" s="7"/>
      <c r="E88" s="8" t="str">
        <f t="shared" si="3"/>
        <v/>
      </c>
      <c r="F88" s="9"/>
      <c r="G88" s="10" t="str">
        <f>IF(E88="","",E88/TIME([1]Settings!$B$2,0,0))</f>
        <v/>
      </c>
      <c r="H88" s="10" t="str">
        <f>IF(B88="","",SUM($E$2:E88)/TIME([1]Settings!$B$2,0,0))</f>
        <v/>
      </c>
      <c r="I88" s="11"/>
      <c r="J88" s="1"/>
    </row>
    <row r="89" spans="1:10">
      <c r="A89" s="5" t="str">
        <f t="shared" si="4"/>
        <v/>
      </c>
      <c r="B89" s="6"/>
      <c r="C89" s="7"/>
      <c r="D89" s="7"/>
      <c r="E89" s="8" t="str">
        <f t="shared" si="3"/>
        <v/>
      </c>
      <c r="F89" s="9"/>
      <c r="G89" s="10" t="str">
        <f>IF(E89="","",E89/TIME([1]Settings!$B$2,0,0))</f>
        <v/>
      </c>
      <c r="H89" s="10" t="str">
        <f>IF(B89="","",SUM($E$2:E89)/TIME([1]Settings!$B$2,0,0))</f>
        <v/>
      </c>
      <c r="I89" s="11"/>
      <c r="J89" s="1"/>
    </row>
    <row r="90" spans="1:10">
      <c r="A90" s="5" t="str">
        <f t="shared" si="4"/>
        <v/>
      </c>
      <c r="B90" s="6"/>
      <c r="C90" s="7"/>
      <c r="D90" s="7"/>
      <c r="E90" s="8" t="str">
        <f t="shared" si="3"/>
        <v/>
      </c>
      <c r="F90" s="9"/>
      <c r="G90" s="10" t="str">
        <f>IF(E90="","",E90/TIME([1]Settings!$B$2,0,0))</f>
        <v/>
      </c>
      <c r="H90" s="10" t="str">
        <f>IF(B90="","",SUM($E$2:E90)/TIME([1]Settings!$B$2,0,0))</f>
        <v/>
      </c>
      <c r="I90" s="11"/>
      <c r="J90" s="1"/>
    </row>
    <row r="91" spans="1:10">
      <c r="A91" s="5" t="str">
        <f t="shared" si="4"/>
        <v/>
      </c>
      <c r="B91" s="6"/>
      <c r="C91" s="7"/>
      <c r="D91" s="7"/>
      <c r="E91" s="8" t="str">
        <f t="shared" si="3"/>
        <v/>
      </c>
      <c r="F91" s="9"/>
      <c r="G91" s="10" t="str">
        <f>IF(E91="","",E91/TIME([1]Settings!$B$2,0,0))</f>
        <v/>
      </c>
      <c r="H91" s="10" t="str">
        <f>IF(B91="","",SUM($E$2:E91)/TIME([1]Settings!$B$2,0,0))</f>
        <v/>
      </c>
      <c r="I91" s="11"/>
      <c r="J91" s="1"/>
    </row>
    <row r="92" spans="1:10">
      <c r="A92" s="5" t="str">
        <f t="shared" si="4"/>
        <v/>
      </c>
      <c r="B92" s="6"/>
      <c r="C92" s="7"/>
      <c r="D92" s="7"/>
      <c r="E92" s="8" t="str">
        <f t="shared" si="3"/>
        <v/>
      </c>
      <c r="F92" s="9"/>
      <c r="G92" s="10" t="str">
        <f>IF(E92="","",E92/TIME([1]Settings!$B$2,0,0))</f>
        <v/>
      </c>
      <c r="H92" s="10" t="str">
        <f>IF(B92="","",SUM($E$2:E92)/TIME([1]Settings!$B$2,0,0))</f>
        <v/>
      </c>
      <c r="I92" s="11"/>
      <c r="J92" s="1"/>
    </row>
    <row r="93" spans="1:10">
      <c r="A93" s="5" t="str">
        <f t="shared" si="4"/>
        <v/>
      </c>
      <c r="B93" s="6"/>
      <c r="C93" s="7"/>
      <c r="D93" s="7"/>
      <c r="E93" s="8" t="str">
        <f t="shared" si="3"/>
        <v/>
      </c>
      <c r="F93" s="9"/>
      <c r="G93" s="10" t="str">
        <f>IF(E93="","",E93/TIME([1]Settings!$B$2,0,0))</f>
        <v/>
      </c>
      <c r="H93" s="10" t="str">
        <f>IF(B93="","",SUM($E$2:E93)/TIME([1]Settings!$B$2,0,0))</f>
        <v/>
      </c>
      <c r="I93" s="11"/>
      <c r="J93" s="1"/>
    </row>
    <row r="94" spans="1:10">
      <c r="A94" s="5" t="str">
        <f t="shared" si="4"/>
        <v/>
      </c>
      <c r="B94" s="6"/>
      <c r="C94" s="7"/>
      <c r="D94" s="7"/>
      <c r="E94" s="8" t="str">
        <f t="shared" si="3"/>
        <v/>
      </c>
      <c r="F94" s="9"/>
      <c r="G94" s="10" t="str">
        <f>IF(E94="","",E94/TIME([1]Settings!$B$2,0,0))</f>
        <v/>
      </c>
      <c r="H94" s="10" t="str">
        <f>IF(B94="","",SUM($E$2:E94)/TIME([1]Settings!$B$2,0,0))</f>
        <v/>
      </c>
      <c r="I94" s="11"/>
      <c r="J94" s="1"/>
    </row>
    <row r="95" spans="1:10">
      <c r="A95" s="5" t="str">
        <f t="shared" si="4"/>
        <v/>
      </c>
      <c r="B95" s="6"/>
      <c r="C95" s="7"/>
      <c r="D95" s="7"/>
      <c r="E95" s="8" t="str">
        <f t="shared" si="3"/>
        <v/>
      </c>
      <c r="F95" s="9"/>
      <c r="G95" s="10" t="str">
        <f>IF(E95="","",E95/TIME([1]Settings!$B$2,0,0))</f>
        <v/>
      </c>
      <c r="H95" s="10" t="str">
        <f>IF(B95="","",SUM($E$2:E95)/TIME([1]Settings!$B$2,0,0))</f>
        <v/>
      </c>
      <c r="I95" s="11"/>
      <c r="J95" s="1"/>
    </row>
    <row r="96" spans="1:10">
      <c r="A96" s="5" t="str">
        <f t="shared" si="4"/>
        <v/>
      </c>
      <c r="B96" s="6"/>
      <c r="C96" s="7"/>
      <c r="D96" s="7"/>
      <c r="E96" s="8" t="str">
        <f t="shared" si="3"/>
        <v/>
      </c>
      <c r="F96" s="9"/>
      <c r="G96" s="10" t="str">
        <f>IF(E96="","",E96/TIME([1]Settings!$B$2,0,0))</f>
        <v/>
      </c>
      <c r="H96" s="10" t="str">
        <f>IF(B96="","",SUM($E$2:E96)/TIME([1]Settings!$B$2,0,0))</f>
        <v/>
      </c>
      <c r="I96" s="11"/>
      <c r="J96" s="1"/>
    </row>
    <row r="97" spans="1:10">
      <c r="A97" s="5" t="str">
        <f t="shared" si="4"/>
        <v/>
      </c>
      <c r="B97" s="6"/>
      <c r="C97" s="7"/>
      <c r="D97" s="7"/>
      <c r="E97" s="8" t="str">
        <f t="shared" si="3"/>
        <v/>
      </c>
      <c r="F97" s="9"/>
      <c r="G97" s="10" t="str">
        <f>IF(E97="","",E97/TIME([1]Settings!$B$2,0,0))</f>
        <v/>
      </c>
      <c r="H97" s="10" t="str">
        <f>IF(B97="","",SUM($E$2:E97)/TIME([1]Settings!$B$2,0,0))</f>
        <v/>
      </c>
      <c r="I97" s="11"/>
      <c r="J97" s="1"/>
    </row>
    <row r="98" spans="1:10">
      <c r="A98" s="5" t="str">
        <f t="shared" si="4"/>
        <v/>
      </c>
      <c r="B98" s="6"/>
      <c r="C98" s="7"/>
      <c r="D98" s="7"/>
      <c r="E98" s="8" t="str">
        <f>IF(COUNTA(C98:D98)&lt;2,"",MOD(D98-C98,1))</f>
        <v/>
      </c>
      <c r="F98" s="9"/>
      <c r="G98" s="10" t="str">
        <f>IF(E98="","",E98/TIME([1]Settings!$B$2,0,0))</f>
        <v/>
      </c>
      <c r="H98" s="10" t="str">
        <f>IF(B98="","",SUM($E$2:E98)/TIME([1]Settings!$B$2,0,0))</f>
        <v/>
      </c>
      <c r="I98" s="11"/>
      <c r="J98" s="1"/>
    </row>
    <row r="99" spans="1:10">
      <c r="A99" s="5" t="str">
        <f t="shared" si="4"/>
        <v/>
      </c>
      <c r="B99" s="6"/>
      <c r="C99" s="7"/>
      <c r="D99" s="7"/>
      <c r="E99" s="8" t="str">
        <f>IF(COUNTA(C99:D99)&lt;2,"",MOD(D99-C99,1))</f>
        <v/>
      </c>
      <c r="F99" s="9"/>
      <c r="G99" s="10" t="str">
        <f>IF(E99="","",E99/TIME([1]Settings!$B$2,0,0))</f>
        <v/>
      </c>
      <c r="H99" s="10" t="str">
        <f>IF(B99="","",SUM($E$2:E99)/TIME([1]Settings!$B$2,0,0))</f>
        <v/>
      </c>
      <c r="I99" s="11"/>
      <c r="J99" s="1"/>
    </row>
    <row r="100" spans="1:10">
      <c r="A100" s="5" t="str">
        <f t="shared" si="4"/>
        <v/>
      </c>
      <c r="B100" s="6"/>
      <c r="C100" s="7"/>
      <c r="D100" s="7"/>
      <c r="E100" s="8" t="str">
        <f>IF(COUNTA(C100:D100)&lt;2,"",MOD(D100-C100,1))</f>
        <v/>
      </c>
      <c r="F100" s="9"/>
      <c r="G100" s="10" t="str">
        <f>IF(E100="","",E100/TIME([1]Settings!$B$2,0,0))</f>
        <v/>
      </c>
      <c r="H100" s="10" t="str">
        <f>IF(B100="","",SUM($E$2:E100)/TIME([1]Settings!$B$2,0,0))</f>
        <v/>
      </c>
      <c r="I100" s="11"/>
      <c r="J100" s="1"/>
    </row>
    <row r="101" spans="1:10">
      <c r="A101" s="5" t="str">
        <f t="shared" si="4"/>
        <v/>
      </c>
      <c r="B101" s="6"/>
      <c r="C101" s="7"/>
      <c r="D101" s="7"/>
      <c r="E101" s="8" t="str">
        <f>IF(COUNTA(C101:D101)&lt;2,"",MOD(D101-C101,1))</f>
        <v/>
      </c>
      <c r="F101" s="9"/>
      <c r="G101" s="10" t="str">
        <f>IF(E101="","",E101/TIME([1]Settings!$B$2,0,0))</f>
        <v/>
      </c>
      <c r="H101" s="10" t="str">
        <f>IF(B101="","",SUM($E$2:E101)/TIME([1]Settings!$B$2,0,0))</f>
        <v/>
      </c>
      <c r="I101" s="11"/>
      <c r="J101" s="1"/>
    </row>
  </sheetData>
  <conditionalFormatting sqref="F2:F101">
    <cfRule type="cellIs" dxfId="3" priority="5" operator="equal">
      <formula>5</formula>
    </cfRule>
    <cfRule type="cellIs" dxfId="4" priority="4" operator="equal">
      <formula>4</formula>
    </cfRule>
    <cfRule type="cellIs" dxfId="5" priority="3" operator="equal">
      <formula>3</formula>
    </cfRule>
    <cfRule type="cellIs" dxfId="6" priority="2" operator="equal">
      <formula>2</formula>
    </cfRule>
    <cfRule type="cellIs" dxfId="7" priority="1" operator="equal">
      <formula>1</formula>
    </cfRule>
  </conditionalFormatting>
  <conditionalFormatting sqref="H2:H101">
    <cfRule type="dataBar" priority="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{5ff0c6ce-b325-415d-aeb6-264d665896e7}</x14:id>
        </ext>
      </extLst>
    </cfRule>
  </conditionalFormatting>
  <dataValidations count="1">
    <dataValidation type="list" sqref="F2:F101">
      <formula1>"1,2,3,4,5"</formula1>
    </dataValidation>
  </dataValidations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f0c6ce-b325-415d-aeb6-264d665896e7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H2:H101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7" sqref="B17"/>
    </sheetView>
  </sheetViews>
  <sheetFormatPr defaultColWidth="10" defaultRowHeight="13.8" outlineLevelRow="6" outlineLevelCol="1"/>
  <cols>
    <col min="1" max="2" width="26.6666666666667" style="1" customWidth="1"/>
    <col min="3" max="16384" width="10" style="1"/>
  </cols>
  <sheetData>
    <row r="1" s="1" customFormat="1" spans="1:2">
      <c r="A1" s="2" t="s">
        <v>9</v>
      </c>
      <c r="B1" s="2" t="s">
        <v>10</v>
      </c>
    </row>
    <row r="2" s="1" customFormat="1" spans="1:2">
      <c r="A2" s="1" t="s">
        <v>11</v>
      </c>
      <c r="B2" s="3">
        <v>1</v>
      </c>
    </row>
    <row r="3" s="1" customFormat="1" spans="1:2">
      <c r="A3" s="1" t="s">
        <v>12</v>
      </c>
      <c r="B3" s="3" t="s">
        <v>13</v>
      </c>
    </row>
    <row r="4" s="1" customFormat="1" spans="1:2">
      <c r="A4" s="1" t="s">
        <v>14</v>
      </c>
      <c r="B4" s="3">
        <v>1</v>
      </c>
    </row>
    <row r="5" s="1" customFormat="1" spans="1:2">
      <c r="A5" s="1" t="s">
        <v>15</v>
      </c>
      <c r="B5" s="1">
        <v>5</v>
      </c>
    </row>
    <row r="6" s="1" customFormat="1" spans="1:2">
      <c r="A6" s="1" t="s">
        <v>16</v>
      </c>
      <c r="B6" s="1" t="s">
        <v>13</v>
      </c>
    </row>
    <row r="7" s="1" customFormat="1" spans="1:2">
      <c r="A7" s="1" t="s">
        <v>8</v>
      </c>
      <c r="B7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2026-08-14T09:41:08Z</dcterms:created>
  <dcterms:modified xsi:type="dcterms:W3CDTF">2026-08-14T11:09:24Z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8427F6E9A04D46B9BC9CE931DD760BFB_11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